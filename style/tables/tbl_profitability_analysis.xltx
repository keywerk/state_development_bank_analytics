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hidePivotFieldList="1" refreshAllConnections="1"/>
  <mc:AlternateContent xmlns:mc="http://schemas.openxmlformats.org/markup-compatibility/2006">
    <mc:Choice Requires="x15">
      <x15ac:absPath xmlns:x15ac="http://schemas.microsoft.com/office/spreadsheetml/2010/11/ac" url="C:\Users\datadev97\Desktop\state_development_bank_analytics-main\style\tables\"/>
    </mc:Choice>
  </mc:AlternateContent>
  <xr:revisionPtr revIDLastSave="0" documentId="8_{8C4ACA16-65B7-4715-911D-28FE96100AF4}" xr6:coauthVersionLast="47" xr6:coauthVersionMax="47" xr10:uidLastSave="{00000000-0000-0000-0000-000000000000}"/>
  <bookViews>
    <workbookView xWindow="-110" yWindow="-110" windowWidth="25820" windowHeight="13900" activeTab="3" xr2:uid="{00000000-000D-0000-FFFF-FFFF00000000}"/>
  </bookViews>
  <sheets>
    <sheet name="Project_Info" sheetId="7" r:id="rId1"/>
    <sheet name="Dashboard_Overview" sheetId="1" r:id="rId2"/>
    <sheet name="Financial_Performance" sheetId="10" r:id="rId3"/>
    <sheet name="tbl_profitability_analysis" sheetId="27" r:id="rId4"/>
    <sheet name="Profitability_Analysis" sheetId="2" r:id="rId5"/>
    <sheet name="Risk_Assessment" sheetId="11" r:id="rId6"/>
    <sheet name="Capital_Adequacy" sheetId="19" r:id="rId7"/>
    <sheet name="Shock_Simulator" sheetId="21" r:id="rId8"/>
    <sheet name="Calc_Support" sheetId="26" state="hidden" r:id="rId9"/>
  </sheets>
  <definedNames>
    <definedName name="_xlnm._FilterDatabase" localSheetId="1" hidden="1">Dashboard_Overview!#REF!</definedName>
    <definedName name="cur_Assets" localSheetId="7">Shock_Simulator!$H$14</definedName>
    <definedName name="cur_CET1" localSheetId="7">Shock_Simulator!$H$20</definedName>
    <definedName name="cur_Equity" localSheetId="7">Shock_Simulator!$H$16</definedName>
    <definedName name="cur_Leverage" localSheetId="7">Shock_Simulator!$H$22</definedName>
    <definedName name="cur_NetIncome" localSheetId="7">Shock_Simulator!$H$18</definedName>
    <definedName name="min_CET1" localSheetId="7">Shock_Simulator!$O$20</definedName>
    <definedName name="min_Leverage" localSheetId="7">Shock_Simulator!$O$22</definedName>
    <definedName name="res_Assets" localSheetId="7">Shock_Simulator!$V$14</definedName>
    <definedName name="res_CET1" localSheetId="7">Shock_Simulator!$V$20</definedName>
    <definedName name="res_Compliance" localSheetId="7">Shock_Simulator!$U$24</definedName>
    <definedName name="res_Equity" localSheetId="7">Shock_Simulator!$V$16</definedName>
    <definedName name="res_Leverage" localSheetId="7">Shock_Simulator!$V$22</definedName>
    <definedName name="res_NetIncome" localSheetId="7">Shock_Simulator!$V$18</definedName>
    <definedName name="shock_Assets" localSheetId="7">Shock_Simulator!$O$14</definedName>
    <definedName name="shock_Equity" localSheetId="7">Shock_Simulator!$O$16</definedName>
    <definedName name="shock_NetIncome" localSheetId="7">Shock_Simulator!$O$18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27" l="1"/>
  <c r="C15" i="27"/>
  <c r="B15" i="27"/>
  <c r="D14" i="27"/>
  <c r="C14" i="27"/>
  <c r="B14" i="27"/>
  <c r="D11" i="27"/>
  <c r="D10" i="27"/>
  <c r="D9" i="27"/>
  <c r="D8" i="27"/>
  <c r="D7" i="27"/>
  <c r="D6" i="27"/>
  <c r="D5" i="27"/>
  <c r="D4" i="27"/>
  <c r="D3" i="27"/>
  <c r="L11" i="2"/>
  <c r="L22" i="2"/>
  <c r="K22" i="2"/>
  <c r="L23" i="2"/>
  <c r="D21" i="11"/>
  <c r="L19" i="10"/>
  <c r="L16" i="10"/>
  <c r="L12" i="2"/>
  <c r="K23" i="2"/>
  <c r="J22" i="2"/>
  <c r="J23" i="2"/>
  <c r="L13" i="2"/>
  <c r="L14" i="2"/>
  <c r="L15" i="2"/>
  <c r="L16" i="2"/>
  <c r="L17" i="2"/>
  <c r="L18" i="2"/>
  <c r="L19" i="2"/>
  <c r="L11" i="10"/>
  <c r="L20" i="10"/>
  <c r="L18" i="10"/>
  <c r="L17" i="10"/>
  <c r="J23" i="10" s="1"/>
  <c r="L15" i="10"/>
  <c r="L14" i="10"/>
  <c r="L13" i="10"/>
  <c r="L12" i="10"/>
  <c r="J22" i="10" l="1"/>
</calcChain>
</file>

<file path=xl/sharedStrings.xml><?xml version="1.0" encoding="utf-8"?>
<sst xmlns="http://schemas.openxmlformats.org/spreadsheetml/2006/main" count="82" uniqueCount="56">
  <si>
    <t>Cost-Income-Ratio</t>
  </si>
  <si>
    <t>Total assets</t>
  </si>
  <si>
    <t>Net income</t>
  </si>
  <si>
    <t>Profitability and Efficiency Analysis</t>
  </si>
  <si>
    <t>Highest Value</t>
  </si>
  <si>
    <t>Lowest Value</t>
  </si>
  <si>
    <t>Findings</t>
  </si>
  <si>
    <t>Year</t>
  </si>
  <si>
    <t>Return on Assets</t>
  </si>
  <si>
    <t>Average ROA</t>
  </si>
  <si>
    <t>Financial Performance Analysis</t>
  </si>
  <si>
    <t>Risk Assessment Analysis</t>
  </si>
  <si>
    <t>High-Risk Years</t>
  </si>
  <si>
    <t>YoY Growth %</t>
  </si>
  <si>
    <t>N/A</t>
  </si>
  <si>
    <t>Median Value</t>
  </si>
  <si>
    <t>Standard Deviation</t>
  </si>
  <si>
    <t>Risk Threshold</t>
  </si>
  <si>
    <t>Capital Adequacy Analysis</t>
  </si>
  <si>
    <t xml:space="preserve">Total assets </t>
  </si>
  <si>
    <t xml:space="preserve">CET1 ratio </t>
  </si>
  <si>
    <t xml:space="preserve">Total capital ratio </t>
  </si>
  <si>
    <t xml:space="preserve">Leverage Ratio </t>
  </si>
  <si>
    <t>Capital Stress Simulator</t>
  </si>
  <si>
    <t>Stressed Results</t>
  </si>
  <si>
    <t>CET1 Ratio (%)</t>
  </si>
  <si>
    <t>Leverage Ratio (%)</t>
  </si>
  <si>
    <t>Asset Shock (%)</t>
  </si>
  <si>
    <t>Equity (EUR m)</t>
  </si>
  <si>
    <t>Net Income (EUR m)</t>
  </si>
  <si>
    <t>Compliance Check</t>
  </si>
  <si>
    <t>PASS</t>
  </si>
  <si>
    <t>Scenario Inputs</t>
  </si>
  <si>
    <t>Current Metrics</t>
  </si>
  <si>
    <t>Leverage  Ratio (%)</t>
  </si>
  <si>
    <t>Assets (EUR m)</t>
  </si>
  <si>
    <t>Equity (%)</t>
  </si>
  <si>
    <t>Net Income (%)</t>
  </si>
  <si>
    <t>Min Leverage (%)</t>
  </si>
  <si>
    <t>Min CET1 (%)</t>
  </si>
  <si>
    <r>
      <rPr>
        <b/>
        <sz val="14"/>
        <rFont val="Aptos Display"/>
        <family val="2"/>
      </rPr>
      <t>Project Overview</t>
    </r>
    <r>
      <rPr>
        <sz val="11"/>
        <rFont val="Aptos Display"/>
        <family val="2"/>
      </rPr>
      <t xml:space="preserve">
This project analyzes financial data from the publicly available annual reports of L-Bank from 2015 to 2024. The objective is to transform detailed financial statements into a clear and analytical report. The project presents a structured workflow, including data handling, analysis, and the creation of a consolidated dashboard.
</t>
    </r>
    <r>
      <rPr>
        <b/>
        <sz val="14"/>
        <rFont val="Aptos Display"/>
        <family val="2"/>
      </rPr>
      <t>Navigation</t>
    </r>
    <r>
      <rPr>
        <sz val="11"/>
        <rFont val="Aptos Display"/>
        <family val="2"/>
      </rPr>
      <t xml:space="preserve">
This workbook is designed to be a financial report with a logical flow. Here is a brief guide to the sheets included in this file:
</t>
    </r>
    <r>
      <rPr>
        <b/>
        <sz val="11"/>
        <rFont val="Aptos Display"/>
        <family val="2"/>
      </rPr>
      <t>Dashboard_Overview:</t>
    </r>
    <r>
      <rPr>
        <sz val="11"/>
        <rFont val="Aptos Display"/>
        <family val="2"/>
      </rPr>
      <t xml:space="preserve"> The landing page with the key KPIs and visuals that summarize the bank’s overall financial health and multi-year performance at a glance.
</t>
    </r>
    <r>
      <rPr>
        <b/>
        <sz val="11"/>
        <rFont val="Aptos Display"/>
        <family val="2"/>
      </rPr>
      <t xml:space="preserve">Financial_Perfomance: </t>
    </r>
    <r>
      <rPr>
        <sz val="11"/>
        <rFont val="Aptos Display"/>
        <family val="2"/>
      </rPr>
      <t xml:space="preserve">Analyzes Return on Assets (ROA) across 2015–2024, showing the long-term average and standard deviation to highlight profitability levels and year-to-year stability/volatility.
</t>
    </r>
    <r>
      <rPr>
        <b/>
        <sz val="11"/>
        <rFont val="Aptos Display"/>
        <family val="2"/>
      </rPr>
      <t>Profitability_Analysis:</t>
    </r>
    <r>
      <rPr>
        <sz val="11"/>
        <rFont val="Aptos Display"/>
        <family val="2"/>
      </rPr>
      <t xml:space="preserve"> Tracks Net Income, Cost-Income Ratio and YoY Growth; surfaces highest/lowest/median values to show extremes vs typical operating levels and spot exceptional years.
</t>
    </r>
    <r>
      <rPr>
        <b/>
        <sz val="11"/>
        <rFont val="Aptos Display"/>
        <family val="2"/>
      </rPr>
      <t xml:space="preserve">Risk_Assessment: </t>
    </r>
    <r>
      <rPr>
        <sz val="11"/>
        <rFont val="Aptos Display"/>
        <family val="2"/>
      </rPr>
      <t xml:space="preserve">Assesses operational strain using Cost-Income Ratio vs a 0.60 risk threshold and Net Income; flags high-risk years visually and contrasts them with more resilient periods.
</t>
    </r>
    <r>
      <rPr>
        <b/>
        <sz val="11"/>
        <rFont val="Aptos Display"/>
        <family val="2"/>
      </rPr>
      <t xml:space="preserve">Capital_Adequacy: </t>
    </r>
    <r>
      <rPr>
        <sz val="11"/>
        <rFont val="Aptos Display"/>
        <family val="2"/>
      </rPr>
      <t xml:space="preserve">Reviews regulatory strength via CET1, Total Capital and Leverage ratios over 2015–2024, with a trend chart to illustrate improvements, dips and overall alignment with requirements.
</t>
    </r>
    <r>
      <rPr>
        <b/>
        <sz val="11"/>
        <rFont val="Aptos Display"/>
        <family val="2"/>
      </rPr>
      <t>Shock_Simulator:</t>
    </r>
    <r>
      <rPr>
        <sz val="11"/>
        <rFont val="Aptos Display"/>
        <family val="2"/>
      </rPr>
      <t xml:space="preserve"> Interactive tool to apply user-entered shocks to Assets/Equity/Net Income, recompute CET1 &amp; Leverage, and return a centered PASS/FAIL against user-set minima; powered by the RunScenario and ResetScenario macros and named ranges.
</t>
    </r>
    <r>
      <rPr>
        <b/>
        <sz val="14"/>
        <rFont val="Aptos Display"/>
        <family val="2"/>
      </rPr>
      <t>Disclaimer</t>
    </r>
    <r>
      <rPr>
        <sz val="11"/>
        <rFont val="Aptos Display"/>
        <family val="2"/>
      </rPr>
      <t xml:space="preserve">
This project utilizes financial data extracted from the publicly available annual reports of L-Bank, a German state development bank. All rights to the underlying data remain with L-Bank. The data is provided on an “as-is” basis and is used solely for educational/non-commercial purposes. All analyses, interpretations, and conclusions contained herein are solely those of the author and do not reflect the views of L-Bank. This project is an independent work and is neither affiliated with nor endorsed by L-Bank.</t>
    </r>
  </si>
  <si>
    <r>
      <t>This analysis reviews how</t>
    </r>
    <r>
      <rPr>
        <b/>
        <sz val="11"/>
        <color rgb="FF2B2D32"/>
        <rFont val="Aptos Display"/>
        <family val="2"/>
      </rPr>
      <t xml:space="preserve"> efficiently the bank has utilized its assets over the past decade</t>
    </r>
    <r>
      <rPr>
        <sz val="11"/>
        <color rgb="FF2B2D32"/>
        <rFont val="Aptos Display"/>
        <family val="2"/>
      </rPr>
      <t xml:space="preserve">, </t>
    </r>
    <r>
      <rPr>
        <b/>
        <sz val="11"/>
        <color rgb="FF2B2D32"/>
        <rFont val="Aptos Display"/>
        <family val="2"/>
      </rPr>
      <t>using Return on Assets (ROA) as the key measure</t>
    </r>
    <r>
      <rPr>
        <sz val="11"/>
        <color rgb="FF2B2D32"/>
        <rFont val="Aptos Display"/>
        <family val="2"/>
      </rPr>
      <t xml:space="preserve">. It considers both the </t>
    </r>
    <r>
      <rPr>
        <b/>
        <sz val="11"/>
        <color rgb="FF2B2D32"/>
        <rFont val="Aptos Display"/>
        <family val="2"/>
      </rPr>
      <t>average ROA, which reflects typical profitability</t>
    </r>
    <r>
      <rPr>
        <sz val="11"/>
        <color rgb="FF2B2D32"/>
        <rFont val="Aptos Display"/>
        <family val="2"/>
      </rPr>
      <t xml:space="preserve">, and the </t>
    </r>
    <r>
      <rPr>
        <b/>
        <sz val="11"/>
        <color rgb="FF2B2D32"/>
        <rFont val="Aptos Display"/>
        <family val="2"/>
      </rPr>
      <t>standard deviation, which shows how stable results have been across different years</t>
    </r>
    <r>
      <rPr>
        <sz val="11"/>
        <color rgb="FF2B2D32"/>
        <rFont val="Aptos Display"/>
        <family val="2"/>
      </rPr>
      <t xml:space="preserve">. Together, these indicators offer </t>
    </r>
    <r>
      <rPr>
        <b/>
        <sz val="11"/>
        <color rgb="FF2B2D32"/>
        <rFont val="Aptos Display"/>
        <family val="2"/>
      </rPr>
      <t>a balanced view of long-term trends and year-to-year performance shifts</t>
    </r>
    <r>
      <rPr>
        <sz val="11"/>
        <color rgb="FF2B2D32"/>
        <rFont val="Aptos Display"/>
        <family val="2"/>
      </rPr>
      <t>.</t>
    </r>
  </si>
  <si>
    <r>
      <rPr>
        <b/>
        <sz val="11"/>
        <color rgb="FF2B2D32"/>
        <rFont val="Aptos Display"/>
        <family val="2"/>
      </rPr>
      <t>The bank’s ROA remained relatively stable over the years</t>
    </r>
    <r>
      <rPr>
        <sz val="11"/>
        <color rgb="FF2B2D32"/>
        <rFont val="Aptos Display"/>
        <family val="2"/>
      </rPr>
      <t xml:space="preserve">, with </t>
    </r>
    <r>
      <rPr>
        <b/>
        <sz val="11"/>
        <color rgb="FF2B2D32"/>
        <rFont val="Aptos Display"/>
        <family val="2"/>
      </rPr>
      <t>a notable decline in 2021 (0.04%)</t>
    </r>
    <r>
      <rPr>
        <sz val="11"/>
        <color rgb="FF2B2D32"/>
        <rFont val="Aptos Display"/>
        <family val="2"/>
      </rPr>
      <t xml:space="preserve">. In </t>
    </r>
    <r>
      <rPr>
        <b/>
        <sz val="11"/>
        <color rgb="FF2B2D32"/>
        <rFont val="Aptos Display"/>
        <family val="2"/>
      </rPr>
      <t>2022 (0.05%) and 2023 (0.05%)</t>
    </r>
    <r>
      <rPr>
        <sz val="11"/>
        <color rgb="FF2B2D32"/>
        <rFont val="Aptos Display"/>
        <family val="2"/>
      </rPr>
      <t xml:space="preserve">, the return showed </t>
    </r>
    <r>
      <rPr>
        <b/>
        <sz val="11"/>
        <color rgb="FF2B2D32"/>
        <rFont val="Aptos Display"/>
        <family val="2"/>
      </rPr>
      <t>a modest recovery compared to 2021, but still stayed below the average of 0.07%</t>
    </r>
    <r>
      <rPr>
        <sz val="11"/>
        <color rgb="FF2B2D32"/>
        <rFont val="Aptos Display"/>
        <family val="2"/>
      </rPr>
      <t xml:space="preserve">. </t>
    </r>
    <r>
      <rPr>
        <b/>
        <sz val="11"/>
        <color rgb="FF2B2D32"/>
        <rFont val="Aptos Display"/>
        <family val="2"/>
      </rPr>
      <t>A strong improvement was recorded in 2024 (0.16%)</t>
    </r>
    <r>
      <rPr>
        <sz val="11"/>
        <color rgb="FF2B2D32"/>
        <rFont val="Aptos Display"/>
        <family val="2"/>
      </rPr>
      <t xml:space="preserve">, well above the long-term trend. </t>
    </r>
    <r>
      <rPr>
        <b/>
        <sz val="11"/>
        <color rgb="FF2B2D32"/>
        <rFont val="Aptos Display"/>
        <family val="2"/>
      </rPr>
      <t xml:space="preserve">The average ROA of 0.07% indicates stable profitability, </t>
    </r>
    <r>
      <rPr>
        <sz val="11"/>
        <color rgb="FF2B2D32"/>
        <rFont val="Aptos Display"/>
        <family val="2"/>
      </rPr>
      <t xml:space="preserve">while </t>
    </r>
    <r>
      <rPr>
        <b/>
        <sz val="11"/>
        <color rgb="FF2B2D32"/>
        <rFont val="Aptos Display"/>
        <family val="2"/>
      </rPr>
      <t>the standard deviation of 0.03% reflects low volatility in asset efficiency</t>
    </r>
    <r>
      <rPr>
        <sz val="11"/>
        <color rgb="FF2B2D32"/>
        <rFont val="Aptos Display"/>
        <family val="2"/>
      </rPr>
      <t>.</t>
    </r>
  </si>
  <si>
    <r>
      <t xml:space="preserve">This analysis </t>
    </r>
    <r>
      <rPr>
        <b/>
        <sz val="11"/>
        <color rgb="FF2B2D32"/>
        <rFont val="Aptos Display"/>
        <family val="2"/>
      </rPr>
      <t>evaluates the bank’s performance over the past decade using Net Income, Cost-Income Ratio, and Year-over-Year Growth</t>
    </r>
    <r>
      <rPr>
        <sz val="11"/>
        <color rgb="FF2B2D32"/>
        <rFont val="Aptos Display"/>
        <family val="2"/>
      </rPr>
      <t xml:space="preserve">. </t>
    </r>
    <r>
      <rPr>
        <b/>
        <sz val="11"/>
        <color rgb="FF2B2D32"/>
        <rFont val="Aptos Display"/>
        <family val="2"/>
      </rPr>
      <t>It identifies the highest, lowest, and median values of key metrics to highlight both extremes and typical operating levels.</t>
    </r>
  </si>
  <si>
    <r>
      <t xml:space="preserve">Net income remained relatively stable in most years, </t>
    </r>
    <r>
      <rPr>
        <sz val="11"/>
        <color rgb="FF2B2D32"/>
        <rFont val="Aptos Display"/>
        <family val="2"/>
      </rPr>
      <t>with</t>
    </r>
    <r>
      <rPr>
        <b/>
        <sz val="11"/>
        <color rgb="FF2B2D32"/>
        <rFont val="Aptos Display"/>
        <family val="2"/>
      </rPr>
      <t xml:space="preserve"> a notable decline in 2021 (-25.96%) </t>
    </r>
    <r>
      <rPr>
        <sz val="11"/>
        <color rgb="FF2B2D32"/>
        <rFont val="Aptos Display"/>
        <family val="2"/>
      </rPr>
      <t>and</t>
    </r>
    <r>
      <rPr>
        <b/>
        <sz val="11"/>
        <color rgb="FF2B2D32"/>
        <rFont val="Aptos Display"/>
        <family val="2"/>
      </rPr>
      <t xml:space="preserve"> a strong recovery in 2022–2023, </t>
    </r>
    <r>
      <rPr>
        <sz val="11"/>
        <color rgb="FF2B2D32"/>
        <rFont val="Aptos Display"/>
        <family val="2"/>
      </rPr>
      <t>culminating in</t>
    </r>
    <r>
      <rPr>
        <b/>
        <sz val="11"/>
        <color rgb="FF2B2D32"/>
        <rFont val="Aptos Display"/>
        <family val="2"/>
      </rPr>
      <t xml:space="preserve"> an exceptional increase in 2024 (+198.39%). Median values (Net Income ≈ 50.25; Cost-Income Ratio ≈ 52.92%) </t>
    </r>
    <r>
      <rPr>
        <sz val="11"/>
        <color rgb="FF2B2D32"/>
        <rFont val="Aptos Display"/>
        <family val="2"/>
      </rPr>
      <t xml:space="preserve">provide </t>
    </r>
    <r>
      <rPr>
        <b/>
        <sz val="11"/>
        <color rgb="FF2B2D32"/>
        <rFont val="Aptos Display"/>
        <family val="2"/>
      </rPr>
      <t xml:space="preserve">a benchmark for long-term performance, </t>
    </r>
    <r>
      <rPr>
        <sz val="11"/>
        <color rgb="FF2B2D32"/>
        <rFont val="Aptos Display"/>
        <family val="2"/>
      </rPr>
      <t>showing that 2024 was an outlier compared to the bank’s usual operating profile.</t>
    </r>
  </si>
  <si>
    <r>
      <t xml:space="preserve">This analysis provides </t>
    </r>
    <r>
      <rPr>
        <b/>
        <sz val="11"/>
        <color rgb="FF2B2D32"/>
        <rFont val="Aptos Display"/>
        <family val="2"/>
      </rPr>
      <t>an assessment of the bank's financial risk by evaluating two key metrics, Cost-Income Ratio and Net Income, over the past decade</t>
    </r>
    <r>
      <rPr>
        <sz val="11"/>
        <color rgb="FF2B2D32"/>
        <rFont val="Aptos Display"/>
        <family val="2"/>
      </rPr>
      <t xml:space="preserve">. It identifies the years when </t>
    </r>
    <r>
      <rPr>
        <b/>
        <sz val="11"/>
        <color rgb="FF2B2D32"/>
        <rFont val="Aptos Display"/>
        <family val="2"/>
      </rPr>
      <t>the bank exceeded a defined Risk Threshold of 0.60 for the Cost-Income Ratio</t>
    </r>
    <r>
      <rPr>
        <sz val="11"/>
        <color rgb="FF2B2D32"/>
        <rFont val="Aptos Display"/>
        <family val="2"/>
      </rPr>
      <t xml:space="preserve">, highlighting periods of financial strain. </t>
    </r>
    <r>
      <rPr>
        <b/>
        <sz val="11"/>
        <color rgb="FF2B2D32"/>
        <rFont val="Aptos Display"/>
        <family val="2"/>
      </rPr>
      <t>This threshold helps determine when the bank faced challenges in managing its costs relative to income, offering valuable insights into both its operational efficiency and resilience during high-risk years</t>
    </r>
    <r>
      <rPr>
        <sz val="11"/>
        <color rgb="FF2B2D32"/>
        <rFont val="Aptos Display"/>
        <family val="2"/>
      </rPr>
      <t>.</t>
    </r>
  </si>
  <si>
    <r>
      <t xml:space="preserve">The bank demonstrated stable financial performance in most years, </t>
    </r>
    <r>
      <rPr>
        <sz val="11"/>
        <color rgb="FF2B2D32"/>
        <rFont val="Aptos Display"/>
        <family val="2"/>
      </rPr>
      <t xml:space="preserve">maintaining a </t>
    </r>
    <r>
      <rPr>
        <b/>
        <sz val="11"/>
        <color rgb="FF2B2D32"/>
        <rFont val="Aptos Display"/>
        <family val="2"/>
      </rPr>
      <t xml:space="preserve">Cost-Income Ratio </t>
    </r>
    <r>
      <rPr>
        <sz val="11"/>
        <color rgb="FF2B2D32"/>
        <rFont val="Aptos Display"/>
        <family val="2"/>
      </rPr>
      <t>below the</t>
    </r>
    <r>
      <rPr>
        <b/>
        <sz val="11"/>
        <color rgb="FF2B2D32"/>
        <rFont val="Aptos Display"/>
        <family val="2"/>
      </rPr>
      <t xml:space="preserve"> Risk Threshold of 0.60. </t>
    </r>
    <r>
      <rPr>
        <sz val="11"/>
        <color rgb="FF2B2D32"/>
        <rFont val="Aptos Display"/>
        <family val="2"/>
      </rPr>
      <t>However,</t>
    </r>
    <r>
      <rPr>
        <b/>
        <sz val="11"/>
        <color rgb="FF2B2D32"/>
        <rFont val="Aptos Display"/>
        <family val="2"/>
      </rPr>
      <t xml:space="preserve"> 2021 and 2023 were identified as high-risk years, </t>
    </r>
    <r>
      <rPr>
        <sz val="11"/>
        <color rgb="FF2B2D32"/>
        <rFont val="Aptos Display"/>
        <family val="2"/>
      </rPr>
      <t>with</t>
    </r>
    <r>
      <rPr>
        <b/>
        <sz val="11"/>
        <color rgb="FF2B2D32"/>
        <rFont val="Aptos Display"/>
        <family val="2"/>
      </rPr>
      <t xml:space="preserve"> Cost-Income Ratios of 0.64 and 0.61</t>
    </r>
    <r>
      <rPr>
        <sz val="11"/>
        <color rgb="FF2B2D32"/>
        <rFont val="Aptos Display"/>
        <family val="2"/>
      </rPr>
      <t xml:space="preserve">, respectively, </t>
    </r>
    <r>
      <rPr>
        <b/>
        <sz val="11"/>
        <color rgb="FF2B2D32"/>
        <rFont val="Aptos Display"/>
        <family val="2"/>
      </rPr>
      <t xml:space="preserve">signaling increased financial strain. In 2021, Net Income also dropped to 37.33, indicating challenges in profitability. </t>
    </r>
    <r>
      <rPr>
        <sz val="11"/>
        <color rgb="FF2B2D32"/>
        <rFont val="Aptos Display"/>
        <family val="2"/>
      </rPr>
      <t>Despite these setbacks,</t>
    </r>
    <r>
      <rPr>
        <b/>
        <sz val="11"/>
        <color rgb="FF2B2D32"/>
        <rFont val="Aptos Display"/>
        <family val="2"/>
      </rPr>
      <t xml:space="preserve"> the bank showed strong recovery in 2024, achieving a Cost-Income Ratio of 0.39 and a significant increase in Net Income to 150.12</t>
    </r>
    <r>
      <rPr>
        <sz val="11"/>
        <color rgb="FF2B2D32"/>
        <rFont val="Aptos Display"/>
        <family val="2"/>
      </rPr>
      <t>, demonstrating its financial resilience and ability to overcome previous difficulties.</t>
    </r>
  </si>
  <si>
    <r>
      <t>This analysis</t>
    </r>
    <r>
      <rPr>
        <b/>
        <sz val="11"/>
        <color rgb="FF2B2D32"/>
        <rFont val="Aptos Display"/>
        <family val="2"/>
      </rPr>
      <t xml:space="preserve"> evaluates the bank’s financial stability by examining</t>
    </r>
    <r>
      <rPr>
        <sz val="11"/>
        <color rgb="FF2B2D32"/>
        <rFont val="Aptos Display"/>
        <family val="2"/>
      </rPr>
      <t xml:space="preserve"> </t>
    </r>
    <r>
      <rPr>
        <b/>
        <sz val="11"/>
        <color rgb="FF2B2D32"/>
        <rFont val="Aptos Display"/>
        <family val="2"/>
      </rPr>
      <t>key regulatory ratios: CET1 ratio, Total Capital ratio, and Leverage ratio</t>
    </r>
    <r>
      <rPr>
        <sz val="11"/>
        <color rgb="FF2B2D32"/>
        <rFont val="Aptos Display"/>
        <family val="2"/>
      </rPr>
      <t xml:space="preserve">. These indicators </t>
    </r>
    <r>
      <rPr>
        <b/>
        <sz val="11"/>
        <color rgb="FF2B2D32"/>
        <rFont val="Aptos Display"/>
        <family val="2"/>
      </rPr>
      <t>reflect the bank’s ability to absorb financial shocks, comply with regulatory requirements, and maintain resilience during economic downturns</t>
    </r>
    <r>
      <rPr>
        <sz val="11"/>
        <color rgb="FF2B2D32"/>
        <rFont val="Aptos Display"/>
        <family val="2"/>
      </rPr>
      <t xml:space="preserve">. By tracking </t>
    </r>
    <r>
      <rPr>
        <b/>
        <sz val="11"/>
        <color rgb="FF2B2D32"/>
        <rFont val="Aptos Display"/>
        <family val="2"/>
      </rPr>
      <t>their evolution between 2015–2024, we identify consistent improvements in capital strength</t>
    </r>
    <r>
      <rPr>
        <sz val="11"/>
        <color rgb="FF2B2D32"/>
        <rFont val="Aptos Display"/>
        <family val="2"/>
      </rPr>
      <t>, supporting the bank’s long-term sustainability and growth capacity.</t>
    </r>
  </si>
  <si>
    <r>
      <rPr>
        <b/>
        <sz val="11"/>
        <color rgb="FF2B2D32"/>
        <rFont val="Aptos Display"/>
        <family val="2"/>
      </rPr>
      <t>The analysis shows that the bank has demonstrated consistent improvement in its capital adequacy ratios from 2015 to 2024</t>
    </r>
    <r>
      <rPr>
        <sz val="11"/>
        <color rgb="FF2B2D32"/>
        <rFont val="Aptos Display"/>
        <family val="2"/>
      </rPr>
      <t xml:space="preserve">. The </t>
    </r>
    <r>
      <rPr>
        <b/>
        <sz val="11"/>
        <color rgb="FF2B2D32"/>
        <rFont val="Aptos Display"/>
        <family val="2"/>
      </rPr>
      <t>CET1 ratio</t>
    </r>
    <r>
      <rPr>
        <sz val="11"/>
        <color rgb="FF2B2D32"/>
        <rFont val="Aptos Display"/>
        <family val="2"/>
      </rPr>
      <t xml:space="preserve"> steadily increased from </t>
    </r>
    <r>
      <rPr>
        <b/>
        <sz val="11"/>
        <color rgb="FF2B2D32"/>
        <rFont val="Aptos Display"/>
        <family val="2"/>
      </rPr>
      <t xml:space="preserve">16.38% in 2015 </t>
    </r>
    <r>
      <rPr>
        <sz val="11"/>
        <color rgb="FF2B2D32"/>
        <rFont val="Aptos Display"/>
        <family val="2"/>
      </rPr>
      <t xml:space="preserve">to </t>
    </r>
    <r>
      <rPr>
        <b/>
        <sz val="11"/>
        <color rgb="FF2B2D32"/>
        <rFont val="Aptos Display"/>
        <family val="2"/>
      </rPr>
      <t>22.47% in 2024</t>
    </r>
    <r>
      <rPr>
        <sz val="11"/>
        <color rgb="FF2B2D32"/>
        <rFont val="Aptos Display"/>
        <family val="2"/>
      </rPr>
      <t xml:space="preserve">, while the </t>
    </r>
    <r>
      <rPr>
        <b/>
        <sz val="11"/>
        <color rgb="FF2B2D32"/>
        <rFont val="Aptos Display"/>
        <family val="2"/>
      </rPr>
      <t>Total Capital Ratio</t>
    </r>
    <r>
      <rPr>
        <sz val="11"/>
        <color rgb="FF2B2D32"/>
        <rFont val="Aptos Display"/>
        <family val="2"/>
      </rPr>
      <t xml:space="preserve"> followed </t>
    </r>
    <r>
      <rPr>
        <b/>
        <sz val="11"/>
        <color rgb="FF2B2D32"/>
        <rFont val="Aptos Display"/>
        <family val="2"/>
      </rPr>
      <t>a similar upward trajectory</t>
    </r>
    <r>
      <rPr>
        <sz val="11"/>
        <color rgb="FF2B2D32"/>
        <rFont val="Aptos Display"/>
        <family val="2"/>
      </rPr>
      <t xml:space="preserve">, </t>
    </r>
    <r>
      <rPr>
        <b/>
        <sz val="11"/>
        <color rgb="FF2B2D32"/>
        <rFont val="Aptos Display"/>
        <family val="2"/>
      </rPr>
      <t>reaching 23.62%</t>
    </r>
    <r>
      <rPr>
        <sz val="11"/>
        <color rgb="FF2B2D32"/>
        <rFont val="Aptos Display"/>
        <family val="2"/>
      </rPr>
      <t xml:space="preserve">. The year </t>
    </r>
    <r>
      <rPr>
        <b/>
        <sz val="11"/>
        <color rgb="FF2B2D32"/>
        <rFont val="Aptos Display"/>
        <family val="2"/>
      </rPr>
      <t>2021 marked a period of volatility with a sharp rise in the leverage ratio (7.82%)</t>
    </r>
    <r>
      <rPr>
        <sz val="11"/>
        <color rgb="FF2B2D32"/>
        <rFont val="Aptos Display"/>
        <family val="2"/>
      </rPr>
      <t xml:space="preserve">, and </t>
    </r>
    <r>
      <rPr>
        <b/>
        <sz val="11"/>
        <color rgb="FF2B2D32"/>
        <rFont val="Aptos Display"/>
        <family val="2"/>
      </rPr>
      <t>in 2022 both CET1 and the Total Capital Ratio experienced a slight decline</t>
    </r>
    <r>
      <rPr>
        <sz val="11"/>
        <color rgb="FF2B2D32"/>
        <rFont val="Aptos Display"/>
        <family val="2"/>
      </rPr>
      <t xml:space="preserve">, suggesting temporary pressures. However, </t>
    </r>
    <r>
      <rPr>
        <b/>
        <sz val="11"/>
        <color rgb="FF2B2D32"/>
        <rFont val="Aptos Display"/>
        <family val="2"/>
      </rPr>
      <t xml:space="preserve">2023 and 2024 indicate a clear recovery, </t>
    </r>
    <r>
      <rPr>
        <sz val="11"/>
        <color rgb="FF2B2D32"/>
        <rFont val="Aptos Display"/>
        <family val="2"/>
      </rPr>
      <t>reinforcing the bank’s resilience and strong alignment with regulatory requirements.</t>
    </r>
  </si>
  <si>
    <r>
      <t xml:space="preserve">This workbook is a </t>
    </r>
    <r>
      <rPr>
        <b/>
        <sz val="11"/>
        <color rgb="FF2B2D32"/>
        <rFont val="Aptos Display"/>
        <family val="2"/>
      </rPr>
      <t>Capital Stress Simulator</t>
    </r>
    <r>
      <rPr>
        <sz val="11"/>
        <color rgb="FF2B2D32"/>
        <rFont val="Aptos Display"/>
        <family val="2"/>
      </rPr>
      <t xml:space="preserve">. It applies </t>
    </r>
    <r>
      <rPr>
        <b/>
        <sz val="11"/>
        <color rgb="FF2B2D32"/>
        <rFont val="Aptos Display"/>
        <family val="2"/>
      </rPr>
      <t>user-entered percentage shocks</t>
    </r>
    <r>
      <rPr>
        <sz val="11"/>
        <color rgb="FF2B2D32"/>
        <rFont val="Aptos Display"/>
        <family val="2"/>
      </rPr>
      <t xml:space="preserve"> to the latest figures for </t>
    </r>
    <r>
      <rPr>
        <b/>
        <sz val="11"/>
        <color rgb="FF2B2D32"/>
        <rFont val="Aptos Display"/>
        <family val="2"/>
      </rPr>
      <t>Assets, Equity, and Net Income, recomputes CET1 and Leverage ratios under stress, and compares them against user-defined regulatory minima</t>
    </r>
    <r>
      <rPr>
        <sz val="11"/>
        <color rgb="FF2B2D32"/>
        <rFont val="Aptos Display"/>
        <family val="2"/>
      </rPr>
      <t xml:space="preserve">. Results are shown in a formatted table </t>
    </r>
    <r>
      <rPr>
        <b/>
        <sz val="11"/>
        <color rgb="FF2B2D32"/>
        <rFont val="Aptos Display"/>
        <family val="2"/>
      </rPr>
      <t>with a clear PASS or FAIL</t>
    </r>
    <r>
      <rPr>
        <sz val="11"/>
        <color rgb="FF2B2D32"/>
        <rFont val="Aptos Display"/>
        <family val="2"/>
      </rPr>
      <t xml:space="preserve">. </t>
    </r>
    <r>
      <rPr>
        <b/>
        <sz val="11"/>
        <color rgb="FF2B2D32"/>
        <rFont val="Aptos Display"/>
        <family val="2"/>
      </rPr>
      <t>Inputs and outputs are wired through named ranges</t>
    </r>
    <r>
      <rPr>
        <sz val="11"/>
        <color rgb="FF2B2D32"/>
        <rFont val="Aptos Display"/>
        <family val="2"/>
      </rPr>
      <t>, so the layout can change without breaking the code.</t>
    </r>
  </si>
  <si>
    <r>
      <rPr>
        <b/>
        <sz val="11"/>
        <color rgb="FF2B2D32"/>
        <rFont val="Aptos Display"/>
        <family val="2"/>
      </rPr>
      <t>The macro resolves all named ranges at start, reads values with locale-safe conversion, applies the shocks, and computes A2, NI2, E2, plus the scaling factor k = (E2/E)/(A2/A) used to update CET1 and Leverage</t>
    </r>
    <r>
      <rPr>
        <sz val="11"/>
        <color rgb="FF2B2D32"/>
        <rFont val="Aptos Display"/>
        <family val="2"/>
      </rPr>
      <t xml:space="preserve">. Outputs are written as values with fixed </t>
    </r>
    <r>
      <rPr>
        <b/>
        <sz val="11"/>
        <color rgb="FF2B2D32"/>
        <rFont val="Aptos Display"/>
        <family val="2"/>
      </rPr>
      <t>number/percent formats</t>
    </r>
    <r>
      <rPr>
        <sz val="11"/>
        <color rgb="FF2B2D32"/>
        <rFont val="Aptos Display"/>
        <family val="2"/>
      </rPr>
      <t xml:space="preserve">. The </t>
    </r>
    <r>
      <rPr>
        <b/>
        <sz val="11"/>
        <color rgb="FF2B2D32"/>
        <rFont val="Aptos Display"/>
        <family val="2"/>
      </rPr>
      <t>Compliance area</t>
    </r>
    <r>
      <rPr>
        <sz val="11"/>
        <color rgb="FF2B2D32"/>
        <rFont val="Aptos Display"/>
        <family val="2"/>
      </rPr>
      <t xml:space="preserve"> is a merged range that centers the label and colors the </t>
    </r>
    <r>
      <rPr>
        <b/>
        <sz val="11"/>
        <color rgb="FF2B2D32"/>
        <rFont val="Aptos Display"/>
        <family val="2"/>
      </rPr>
      <t>full area green/red, showing only PASS or FAIL</t>
    </r>
    <r>
      <rPr>
        <sz val="11"/>
        <color rgb="FF2B2D32"/>
        <rFont val="Aptos Display"/>
        <family val="2"/>
      </rPr>
      <t xml:space="preserve">. The implementation is split into two main procedures: </t>
    </r>
    <r>
      <rPr>
        <b/>
        <sz val="11"/>
        <color rgb="FF2B2D32"/>
        <rFont val="Aptos Display"/>
        <family val="2"/>
      </rPr>
      <t>RunScenario and ResetScenario</t>
    </r>
    <r>
      <rPr>
        <sz val="11"/>
        <color rgb="FF2B2D32"/>
        <rFont val="Aptos Display"/>
        <family val="2"/>
      </rPr>
      <t>.</t>
    </r>
  </si>
  <si>
    <t>Average Total</t>
  </si>
  <si>
    <t>Source: Annual Reports 2015–2024, L‑Bank (https://www.l-bank.info/en/about-l-bank/publications/annual-reports/annual-reports.html?lang=en)</t>
  </si>
  <si>
    <t>Table design &amp; analysis: Vladimiros Makris</t>
  </si>
  <si>
    <t>Used for for educational / non-commercial purposes only</t>
  </si>
  <si>
    <t>Updated: September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</si>
</sst>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€_-;\-* #,##0.00\ _€_-;_-* &quot;-&quot;??\ _€_-;_-@_-"/>
    <numFmt numFmtId="165" formatCode="#,##0.00_ ;\-#,##0.00\ "/>
  </numFmts>
  <fonts count="30" x14ac:knownFonts="1">
    <font>
      <sz val="11"/>
      <color theme="1"/>
      <name val="Calibri"/>
      <family val="2"/>
      <scheme val="minor"/>
    </font>
    <font>
      <sz val="14"/>
      <color theme="1"/>
      <name val="Aptos Display"/>
      <family val="2"/>
    </font>
    <font>
      <sz val="11"/>
      <color theme="1"/>
      <name val="Aptos Display"/>
      <family val="2"/>
    </font>
    <font>
      <b/>
      <sz val="11"/>
      <color theme="0"/>
      <name val="Aptos Display"/>
      <family val="2"/>
    </font>
    <font>
      <i/>
      <sz val="7.5"/>
      <color theme="0" tint="-0.499984740745262"/>
      <name val="Aptos Display"/>
      <family val="2"/>
    </font>
    <font>
      <sz val="11"/>
      <color theme="1"/>
      <name val="Calibri"/>
      <family val="2"/>
      <scheme val="minor"/>
    </font>
    <font>
      <b/>
      <sz val="11"/>
      <name val="Aptos Display"/>
      <family val="2"/>
    </font>
    <font>
      <b/>
      <i/>
      <sz val="11"/>
      <name val="Aptos Display"/>
      <family val="2"/>
    </font>
    <font>
      <sz val="11"/>
      <color theme="0"/>
      <name val="Aptos Display"/>
      <family val="2"/>
    </font>
    <font>
      <b/>
      <sz val="12"/>
      <color theme="0"/>
      <name val="Aptos Display"/>
      <family val="2"/>
    </font>
    <font>
      <sz val="11"/>
      <name val="Aptos Display"/>
      <family val="2"/>
    </font>
    <font>
      <b/>
      <sz val="10"/>
      <color theme="0"/>
      <name val="Aptos Display"/>
      <family val="2"/>
    </font>
    <font>
      <b/>
      <sz val="14"/>
      <name val="Aptos Display"/>
      <family val="2"/>
    </font>
    <font>
      <sz val="6"/>
      <color theme="0"/>
      <name val="Aptos Display"/>
      <family val="2"/>
    </font>
    <font>
      <sz val="11"/>
      <color rgb="FF2B2D32"/>
      <name val="Aptos Display"/>
      <family val="2"/>
    </font>
    <font>
      <b/>
      <sz val="14"/>
      <color rgb="FF2B2D32"/>
      <name val="Aptos Display"/>
      <family val="2"/>
    </font>
    <font>
      <b/>
      <sz val="11"/>
      <color rgb="FF2B2D32"/>
      <name val="Aptos Display"/>
      <family val="2"/>
    </font>
    <font>
      <sz val="14"/>
      <color rgb="FF2B2D32"/>
      <name val="Aptos Display"/>
      <family val="2"/>
    </font>
    <font>
      <i/>
      <sz val="11"/>
      <color rgb="FF2B2D32"/>
      <name val="Aptos Display"/>
      <family val="2"/>
    </font>
    <font>
      <b/>
      <i/>
      <sz val="11"/>
      <color rgb="FF2B2D32"/>
      <name val="Aptos Display"/>
      <family val="2"/>
    </font>
    <font>
      <b/>
      <sz val="12"/>
      <color rgb="FF2B2D32"/>
      <name val="Aptos Display"/>
      <family val="2"/>
    </font>
    <font>
      <sz val="11"/>
      <color rgb="FF2B2D32"/>
      <name val="Calibri"/>
      <family val="2"/>
      <scheme val="minor"/>
    </font>
    <font>
      <b/>
      <sz val="16"/>
      <color rgb="FF2B2D32"/>
      <name val="Aptos Display"/>
      <family val="2"/>
    </font>
    <font>
      <sz val="10"/>
      <color rgb="FF2B2D32"/>
      <name val="Aptos Display"/>
      <family val="2"/>
    </font>
    <font>
      <b/>
      <sz val="10"/>
      <color rgb="FF2B2D32"/>
      <name val="Aptos Display"/>
      <family val="2"/>
    </font>
    <font>
      <i/>
      <sz val="10"/>
      <color rgb="FF2B2D32"/>
      <name val="Aptos Display"/>
      <family val="2"/>
    </font>
    <font>
      <b/>
      <sz val="11"/>
      <color rgb="FF2B2D32"/>
      <name val="Calibri"/>
      <family val="2"/>
      <scheme val="minor"/>
    </font>
    <font>
      <sz val="10"/>
      <color theme="0"/>
      <name val="Aptos Display"/>
      <family val="2"/>
    </font>
    <font>
      <sz val="7"/>
      <color theme="0"/>
      <name val="Aptos Display"/>
      <family val="2"/>
    </font>
    <font>
      <i/>
      <sz val="7"/>
      <color theme="0"/>
      <name val="Aptos Display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1EDE6"/>
        <bgColor indexed="64"/>
      </patternFill>
    </fill>
    <fill>
      <patternFill patternType="solid">
        <fgColor rgb="FFF1EDE7"/>
        <bgColor indexed="64"/>
      </patternFill>
    </fill>
    <fill>
      <patternFill patternType="solid">
        <fgColor rgb="FFF0F0F1"/>
        <bgColor indexed="64"/>
      </patternFill>
    </fill>
    <fill>
      <patternFill patternType="solid">
        <fgColor rgb="FF03708B"/>
        <bgColor indexed="64"/>
      </patternFill>
    </fill>
    <fill>
      <patternFill patternType="solid">
        <fgColor rgb="FFB3D4D8"/>
        <bgColor indexed="64"/>
      </patternFill>
    </fill>
    <fill>
      <patternFill patternType="solid">
        <fgColor rgb="FF91D1AC"/>
        <bgColor indexed="64"/>
      </patternFill>
    </fill>
  </fills>
  <borders count="23">
    <border>
      <left/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/>
      <top/>
      <bottom style="double">
        <color theme="0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double">
        <color theme="0"/>
      </left>
      <right/>
      <top style="double">
        <color theme="0"/>
      </top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thin">
        <color rgb="FFE0E0E0"/>
      </left>
      <right/>
      <top style="thin">
        <color rgb="FFE0E0E0"/>
      </top>
      <bottom/>
      <diagonal/>
    </border>
    <border>
      <left/>
      <right/>
      <top style="thin">
        <color rgb="FFE0E0E0"/>
      </top>
      <bottom/>
      <diagonal/>
    </border>
    <border>
      <left/>
      <right style="thin">
        <color rgb="FFE0E0E0"/>
      </right>
      <top style="thin">
        <color rgb="FFE0E0E0"/>
      </top>
      <bottom/>
      <diagonal/>
    </border>
    <border>
      <left style="thin">
        <color rgb="FFE0E0E0"/>
      </left>
      <right/>
      <top/>
      <bottom/>
      <diagonal/>
    </border>
    <border>
      <left/>
      <right style="thin">
        <color rgb="FFE0E0E0"/>
      </right>
      <top/>
      <bottom/>
      <diagonal/>
    </border>
    <border>
      <left style="thin">
        <color rgb="FFE0E0E0"/>
      </left>
      <right/>
      <top/>
      <bottom style="thin">
        <color rgb="FFE0E0E0"/>
      </bottom>
      <diagonal/>
    </border>
    <border>
      <left/>
      <right/>
      <top/>
      <bottom style="thin">
        <color rgb="FFE0E0E0"/>
      </bottom>
      <diagonal/>
    </border>
    <border>
      <left/>
      <right style="thin">
        <color rgb="FFE0E0E0"/>
      </right>
      <top/>
      <bottom style="thin">
        <color rgb="FFE0E0E0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52">
    <xf numFmtId="0" fontId="0" fillId="0" borderId="0" xfId="0"/>
    <xf numFmtId="0" fontId="2" fillId="3" borderId="1" xfId="0" applyFont="1" applyFill="1" applyBorder="1"/>
    <xf numFmtId="0" fontId="10" fillId="3" borderId="0" xfId="0" applyFont="1" applyFill="1" applyBorder="1" applyAlignment="1">
      <alignment wrapText="1"/>
    </xf>
    <xf numFmtId="0" fontId="2" fillId="3" borderId="0" xfId="0" applyFont="1" applyFill="1" applyBorder="1"/>
    <xf numFmtId="0" fontId="2" fillId="3" borderId="0" xfId="0" applyFont="1" applyFill="1"/>
    <xf numFmtId="2" fontId="23" fillId="0" borderId="12" xfId="0" applyNumberFormat="1" applyFont="1" applyFill="1" applyBorder="1" applyAlignment="1" applyProtection="1">
      <alignment vertical="center"/>
    </xf>
    <xf numFmtId="2" fontId="25" fillId="0" borderId="13" xfId="0" applyNumberFormat="1" applyFont="1" applyFill="1" applyBorder="1" applyAlignment="1" applyProtection="1">
      <alignment horizontal="right" vertical="center"/>
    </xf>
    <xf numFmtId="2" fontId="23" fillId="0" borderId="12" xfId="0" applyNumberFormat="1" applyFont="1" applyFill="1" applyBorder="1" applyAlignment="1" applyProtection="1">
      <alignment horizontal="center" vertical="center"/>
    </xf>
    <xf numFmtId="2" fontId="25" fillId="0" borderId="13" xfId="0" applyNumberFormat="1" applyFont="1" applyFill="1" applyBorder="1" applyAlignment="1" applyProtection="1">
      <alignment vertical="center"/>
    </xf>
    <xf numFmtId="10" fontId="23" fillId="0" borderId="12" xfId="0" applyNumberFormat="1" applyFont="1" applyFill="1" applyBorder="1" applyAlignment="1" applyProtection="1">
      <alignment horizontal="center" vertical="center"/>
    </xf>
    <xf numFmtId="10" fontId="25" fillId="0" borderId="13" xfId="0" applyNumberFormat="1" applyFont="1" applyFill="1" applyBorder="1" applyAlignment="1" applyProtection="1">
      <alignment horizontal="right" vertical="center"/>
    </xf>
    <xf numFmtId="10" fontId="25" fillId="0" borderId="12" xfId="0" applyNumberFormat="1" applyFont="1" applyFill="1" applyBorder="1" applyAlignment="1" applyProtection="1">
      <alignment horizontal="right" vertical="center"/>
    </xf>
    <xf numFmtId="9" fontId="25" fillId="0" borderId="13" xfId="0" applyNumberFormat="1" applyFont="1" applyFill="1" applyBorder="1" applyAlignment="1" applyProtection="1">
      <alignment horizontal="right" vertical="center"/>
    </xf>
    <xf numFmtId="10" fontId="25" fillId="0" borderId="13" xfId="0" applyNumberFormat="1" applyFont="1" applyFill="1" applyBorder="1" applyAlignment="1" applyProtection="1">
      <alignment horizontal="right"/>
    </xf>
    <xf numFmtId="10" fontId="23" fillId="0" borderId="12" xfId="0" applyNumberFormat="1" applyFont="1" applyFill="1" applyBorder="1" applyAlignment="1" applyProtection="1">
      <alignment horizontal="right" vertical="center"/>
    </xf>
    <xf numFmtId="4" fontId="25" fillId="0" borderId="13" xfId="0" applyNumberFormat="1" applyFont="1" applyFill="1" applyBorder="1" applyAlignment="1" applyProtection="1">
      <alignment horizontal="right" vertical="center"/>
    </xf>
    <xf numFmtId="0" fontId="2" fillId="4" borderId="0" xfId="0" applyFont="1" applyFill="1"/>
    <xf numFmtId="0" fontId="1" fillId="4" borderId="0" xfId="0" applyFont="1" applyFill="1"/>
    <xf numFmtId="0" fontId="2" fillId="4" borderId="0" xfId="0" applyFont="1" applyFill="1" applyAlignment="1">
      <alignment vertical="center" wrapText="1"/>
    </xf>
    <xf numFmtId="0" fontId="2" fillId="4" borderId="0" xfId="0" applyFont="1" applyFill="1" applyAlignment="1">
      <alignment vertical="center"/>
    </xf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Border="1"/>
    <xf numFmtId="0" fontId="4" fillId="4" borderId="0" xfId="0" applyFont="1" applyFill="1" applyBorder="1" applyAlignment="1">
      <alignment vertical="center" wrapText="1"/>
    </xf>
    <xf numFmtId="0" fontId="14" fillId="4" borderId="0" xfId="0" applyFont="1" applyFill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4" borderId="1" xfId="0" applyFont="1" applyFill="1" applyBorder="1" applyAlignment="1">
      <alignment horizontal="left" vertical="center"/>
    </xf>
    <xf numFmtId="0" fontId="15" fillId="4" borderId="0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 wrapText="1"/>
    </xf>
    <xf numFmtId="0" fontId="14" fillId="4" borderId="0" xfId="0" applyFont="1" applyFill="1" applyBorder="1" applyAlignment="1">
      <alignment horizontal="left" vertical="center" wrapText="1"/>
    </xf>
    <xf numFmtId="0" fontId="17" fillId="4" borderId="0" xfId="0" applyFont="1" applyFill="1" applyBorder="1" applyAlignment="1">
      <alignment horizontal="left" vertical="center" wrapText="1"/>
    </xf>
    <xf numFmtId="0" fontId="14" fillId="4" borderId="0" xfId="0" applyFont="1" applyFill="1" applyBorder="1" applyAlignment="1">
      <alignment horizontal="left" vertical="center" wrapText="1" indent="1"/>
    </xf>
    <xf numFmtId="0" fontId="15" fillId="4" borderId="0" xfId="0" applyFont="1" applyFill="1" applyBorder="1" applyAlignment="1">
      <alignment horizontal="left" vertical="center" wrapText="1"/>
    </xf>
    <xf numFmtId="0" fontId="17" fillId="4" borderId="0" xfId="0" applyFont="1" applyFill="1" applyBorder="1" applyAlignment="1">
      <alignment horizontal="left" vertical="center" wrapText="1"/>
    </xf>
    <xf numFmtId="0" fontId="14" fillId="4" borderId="0" xfId="0" applyFont="1" applyFill="1" applyBorder="1" applyAlignment="1">
      <alignment horizontal="left" vertical="center" indent="1"/>
    </xf>
    <xf numFmtId="0" fontId="14" fillId="4" borderId="0" xfId="0" applyFont="1" applyFill="1" applyBorder="1"/>
    <xf numFmtId="0" fontId="14" fillId="4" borderId="1" xfId="0" applyFont="1" applyFill="1" applyBorder="1"/>
    <xf numFmtId="0" fontId="15" fillId="4" borderId="0" xfId="0" applyFont="1" applyFill="1" applyBorder="1"/>
    <xf numFmtId="0" fontId="14" fillId="4" borderId="0" xfId="0" applyFont="1" applyFill="1"/>
    <xf numFmtId="0" fontId="17" fillId="4" borderId="1" xfId="0" applyFont="1" applyFill="1" applyBorder="1" applyAlignment="1">
      <alignment horizontal="left" vertical="center"/>
    </xf>
    <xf numFmtId="0" fontId="17" fillId="4" borderId="0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 wrapText="1" indent="2"/>
    </xf>
    <xf numFmtId="0" fontId="14" fillId="4" borderId="1" xfId="0" applyFont="1" applyFill="1" applyBorder="1" applyAlignment="1">
      <alignment horizontal="left" indent="1"/>
    </xf>
    <xf numFmtId="0" fontId="14" fillId="4" borderId="0" xfId="0" applyFont="1" applyFill="1" applyBorder="1" applyAlignment="1">
      <alignment horizontal="left" indent="1"/>
    </xf>
    <xf numFmtId="0" fontId="14" fillId="4" borderId="0" xfId="0" applyFont="1" applyFill="1" applyAlignment="1">
      <alignment horizontal="left" indent="1"/>
    </xf>
    <xf numFmtId="0" fontId="16" fillId="4" borderId="0" xfId="0" applyFont="1" applyFill="1" applyBorder="1" applyAlignment="1">
      <alignment horizontal="center" vertical="center"/>
    </xf>
    <xf numFmtId="10" fontId="19" fillId="4" borderId="0" xfId="0" applyNumberFormat="1" applyFont="1" applyFill="1" applyBorder="1" applyAlignment="1">
      <alignment horizontal="right" vertical="center"/>
    </xf>
    <xf numFmtId="10" fontId="19" fillId="4" borderId="0" xfId="1" applyNumberFormat="1" applyFont="1" applyFill="1" applyBorder="1" applyAlignment="1">
      <alignment horizontal="right" vertical="center"/>
    </xf>
    <xf numFmtId="0" fontId="14" fillId="4" borderId="0" xfId="0" applyFont="1" applyFill="1" applyBorder="1" applyAlignment="1">
      <alignment horizontal="left" vertical="center"/>
    </xf>
    <xf numFmtId="0" fontId="20" fillId="4" borderId="1" xfId="0" applyFont="1" applyFill="1" applyBorder="1" applyAlignment="1">
      <alignment horizontal="left" vertical="center"/>
    </xf>
    <xf numFmtId="0" fontId="16" fillId="4" borderId="0" xfId="0" applyFont="1" applyFill="1" applyBorder="1" applyAlignment="1">
      <alignment horizontal="left" vertical="center" wrapText="1"/>
    </xf>
    <xf numFmtId="0" fontId="20" fillId="4" borderId="0" xfId="0" applyFont="1" applyFill="1" applyBorder="1" applyAlignment="1">
      <alignment horizontal="left" vertical="center"/>
    </xf>
    <xf numFmtId="0" fontId="21" fillId="4" borderId="0" xfId="0" applyFont="1" applyFill="1" applyBorder="1"/>
    <xf numFmtId="0" fontId="16" fillId="4" borderId="0" xfId="0" applyFont="1" applyFill="1" applyBorder="1" applyAlignment="1">
      <alignment horizontal="left" vertical="center" wrapText="1"/>
    </xf>
    <xf numFmtId="0" fontId="22" fillId="4" borderId="0" xfId="0" applyFont="1" applyFill="1" applyBorder="1" applyAlignment="1">
      <alignment horizontal="left" vertical="center" wrapText="1"/>
    </xf>
    <xf numFmtId="0" fontId="15" fillId="4" borderId="0" xfId="0" applyFont="1" applyFill="1" applyBorder="1"/>
    <xf numFmtId="0" fontId="14" fillId="4" borderId="0" xfId="0" applyFont="1" applyFill="1" applyBorder="1" applyAlignment="1">
      <alignment wrapText="1"/>
    </xf>
    <xf numFmtId="0" fontId="14" fillId="4" borderId="0" xfId="0" applyFont="1" applyFill="1" applyBorder="1" applyAlignment="1">
      <alignment wrapText="1"/>
    </xf>
    <xf numFmtId="0" fontId="17" fillId="4" borderId="0" xfId="0" applyFont="1" applyFill="1" applyBorder="1" applyAlignment="1">
      <alignment wrapText="1"/>
    </xf>
    <xf numFmtId="0" fontId="14" fillId="4" borderId="1" xfId="0" applyFont="1" applyFill="1" applyBorder="1" applyAlignment="1">
      <alignment horizontal="center"/>
    </xf>
    <xf numFmtId="0" fontId="14" fillId="4" borderId="0" xfId="0" applyFont="1" applyFill="1" applyBorder="1" applyAlignment="1">
      <alignment horizontal="center"/>
    </xf>
    <xf numFmtId="0" fontId="14" fillId="4" borderId="0" xfId="0" applyFont="1" applyFill="1" applyAlignment="1">
      <alignment horizontal="center"/>
    </xf>
    <xf numFmtId="0" fontId="14" fillId="4" borderId="0" xfId="0" applyFont="1" applyFill="1" applyBorder="1" applyAlignment="1">
      <alignment horizontal="center" vertical="center"/>
    </xf>
    <xf numFmtId="164" fontId="19" fillId="4" borderId="0" xfId="0" applyNumberFormat="1" applyFont="1" applyFill="1" applyBorder="1" applyAlignment="1">
      <alignment horizontal="right" vertical="center"/>
    </xf>
    <xf numFmtId="0" fontId="17" fillId="4" borderId="0" xfId="0" applyFont="1" applyFill="1" applyBorder="1"/>
    <xf numFmtId="0" fontId="14" fillId="4" borderId="1" xfId="0" applyFont="1" applyFill="1" applyBorder="1" applyAlignment="1">
      <alignment wrapText="1"/>
    </xf>
    <xf numFmtId="0" fontId="14" fillId="4" borderId="0" xfId="0" applyFont="1" applyFill="1" applyAlignment="1">
      <alignment wrapText="1"/>
    </xf>
    <xf numFmtId="0" fontId="2" fillId="6" borderId="0" xfId="0" applyFont="1" applyFill="1"/>
    <xf numFmtId="0" fontId="2" fillId="6" borderId="0" xfId="0" applyFont="1" applyFill="1" applyAlignment="1">
      <alignment horizontal="center"/>
    </xf>
    <xf numFmtId="0" fontId="13" fillId="6" borderId="0" xfId="0" applyFont="1" applyFill="1" applyAlignment="1">
      <alignment horizontal="left" vertical="center" wrapText="1"/>
    </xf>
    <xf numFmtId="0" fontId="23" fillId="6" borderId="3" xfId="0" applyFont="1" applyFill="1" applyBorder="1" applyProtection="1"/>
    <xf numFmtId="0" fontId="24" fillId="6" borderId="4" xfId="0" applyFont="1" applyFill="1" applyBorder="1" applyAlignment="1" applyProtection="1">
      <alignment vertical="center"/>
    </xf>
    <xf numFmtId="0" fontId="24" fillId="6" borderId="5" xfId="0" applyFont="1" applyFill="1" applyBorder="1" applyAlignment="1" applyProtection="1">
      <alignment vertical="center"/>
    </xf>
    <xf numFmtId="0" fontId="24" fillId="6" borderId="0" xfId="0" applyFont="1" applyFill="1" applyBorder="1" applyAlignment="1" applyProtection="1">
      <alignment vertical="center"/>
    </xf>
    <xf numFmtId="0" fontId="24" fillId="6" borderId="3" xfId="0" applyFont="1" applyFill="1" applyBorder="1" applyAlignment="1" applyProtection="1">
      <alignment vertical="center"/>
    </xf>
    <xf numFmtId="0" fontId="27" fillId="6" borderId="6" xfId="0" applyFont="1" applyFill="1" applyBorder="1" applyProtection="1"/>
    <xf numFmtId="0" fontId="9" fillId="6" borderId="0" xfId="0" applyFont="1" applyFill="1" applyBorder="1" applyAlignment="1" applyProtection="1">
      <alignment horizontal="center" vertical="center"/>
    </xf>
    <xf numFmtId="0" fontId="20" fillId="6" borderId="0" xfId="0" applyFont="1" applyFill="1" applyBorder="1" applyAlignment="1" applyProtection="1">
      <alignment horizontal="center" vertical="center"/>
    </xf>
    <xf numFmtId="0" fontId="20" fillId="6" borderId="7" xfId="0" applyFont="1" applyFill="1" applyBorder="1" applyAlignment="1" applyProtection="1">
      <alignment horizontal="left" vertical="center"/>
    </xf>
    <xf numFmtId="0" fontId="20" fillId="6" borderId="0" xfId="0" applyFont="1" applyFill="1" applyBorder="1" applyAlignment="1" applyProtection="1">
      <alignment horizontal="left" vertical="center"/>
    </xf>
    <xf numFmtId="0" fontId="9" fillId="6" borderId="6" xfId="0" applyFont="1" applyFill="1" applyBorder="1" applyAlignment="1" applyProtection="1">
      <alignment horizontal="left" vertical="center"/>
    </xf>
    <xf numFmtId="0" fontId="20" fillId="6" borderId="7" xfId="0" applyFont="1" applyFill="1" applyBorder="1" applyAlignment="1" applyProtection="1">
      <alignment vertical="center"/>
    </xf>
    <xf numFmtId="0" fontId="20" fillId="6" borderId="0" xfId="0" applyFont="1" applyFill="1" applyBorder="1" applyAlignment="1" applyProtection="1">
      <alignment vertical="center"/>
    </xf>
    <xf numFmtId="0" fontId="9" fillId="6" borderId="6" xfId="0" applyFont="1" applyFill="1" applyBorder="1" applyAlignment="1" applyProtection="1">
      <alignment vertical="center"/>
    </xf>
    <xf numFmtId="0" fontId="24" fillId="6" borderId="0" xfId="0" applyFont="1" applyFill="1" applyBorder="1" applyAlignment="1" applyProtection="1">
      <alignment horizontal="center" vertical="center"/>
    </xf>
    <xf numFmtId="0" fontId="24" fillId="6" borderId="7" xfId="0" applyFont="1" applyFill="1" applyBorder="1" applyAlignment="1" applyProtection="1">
      <alignment vertical="center"/>
    </xf>
    <xf numFmtId="0" fontId="11" fillId="6" borderId="0" xfId="0" applyFont="1" applyFill="1" applyBorder="1" applyAlignment="1" applyProtection="1">
      <alignment horizontal="center" vertical="center"/>
    </xf>
    <xf numFmtId="0" fontId="24" fillId="6" borderId="0" xfId="0" applyFont="1" applyFill="1" applyBorder="1" applyAlignment="1" applyProtection="1">
      <alignment horizontal="left" vertical="center"/>
    </xf>
    <xf numFmtId="0" fontId="24" fillId="6" borderId="7" xfId="0" applyFont="1" applyFill="1" applyBorder="1" applyAlignment="1" applyProtection="1">
      <alignment horizontal="left" vertical="center"/>
    </xf>
    <xf numFmtId="0" fontId="11" fillId="6" borderId="6" xfId="0" applyFont="1" applyFill="1" applyBorder="1" applyAlignment="1" applyProtection="1">
      <alignment horizontal="left" vertical="center"/>
    </xf>
    <xf numFmtId="0" fontId="11" fillId="6" borderId="0" xfId="0" applyFont="1" applyFill="1" applyBorder="1" applyAlignment="1" applyProtection="1">
      <alignment horizontal="left" vertical="center"/>
    </xf>
    <xf numFmtId="0" fontId="11" fillId="6" borderId="6" xfId="0" applyFont="1" applyFill="1" applyBorder="1" applyAlignment="1" applyProtection="1">
      <alignment vertical="center"/>
    </xf>
    <xf numFmtId="0" fontId="11" fillId="6" borderId="0" xfId="0" applyFont="1" applyFill="1" applyBorder="1" applyAlignment="1" applyProtection="1">
      <alignment vertical="center"/>
    </xf>
    <xf numFmtId="10" fontId="11" fillId="6" borderId="0" xfId="0" applyNumberFormat="1" applyFont="1" applyFill="1" applyBorder="1" applyAlignment="1" applyProtection="1">
      <alignment horizontal="left" vertical="center"/>
    </xf>
    <xf numFmtId="2" fontId="24" fillId="6" borderId="0" xfId="0" applyNumberFormat="1" applyFont="1" applyFill="1" applyBorder="1" applyAlignment="1" applyProtection="1">
      <alignment horizontal="center" vertical="center"/>
    </xf>
    <xf numFmtId="2" fontId="23" fillId="6" borderId="0" xfId="0" applyNumberFormat="1" applyFont="1" applyFill="1" applyBorder="1" applyAlignment="1" applyProtection="1">
      <alignment horizontal="center" vertical="center"/>
    </xf>
    <xf numFmtId="10" fontId="25" fillId="6" borderId="0" xfId="0" applyNumberFormat="1" applyFont="1" applyFill="1" applyBorder="1" applyAlignment="1" applyProtection="1">
      <alignment horizontal="center" vertical="center"/>
    </xf>
    <xf numFmtId="0" fontId="25" fillId="6" borderId="0" xfId="0" applyFont="1" applyFill="1" applyBorder="1" applyAlignment="1" applyProtection="1">
      <alignment horizontal="center" vertical="center"/>
    </xf>
    <xf numFmtId="10" fontId="23" fillId="6" borderId="0" xfId="0" applyNumberFormat="1" applyFont="1" applyFill="1" applyBorder="1" applyAlignment="1" applyProtection="1">
      <alignment horizontal="center" vertical="center"/>
    </xf>
    <xf numFmtId="2" fontId="25" fillId="6" borderId="0" xfId="0" applyNumberFormat="1" applyFont="1" applyFill="1" applyBorder="1" applyAlignment="1" applyProtection="1">
      <alignment horizontal="center" vertical="center"/>
    </xf>
    <xf numFmtId="10" fontId="24" fillId="6" borderId="0" xfId="0" applyNumberFormat="1" applyFont="1" applyFill="1" applyBorder="1" applyAlignment="1" applyProtection="1">
      <alignment horizontal="center" vertical="center"/>
    </xf>
    <xf numFmtId="0" fontId="23" fillId="6" borderId="8" xfId="0" applyFont="1" applyFill="1" applyBorder="1" applyProtection="1"/>
    <xf numFmtId="0" fontId="24" fillId="6" borderId="2" xfId="0" applyFont="1" applyFill="1" applyBorder="1" applyAlignment="1" applyProtection="1">
      <alignment horizontal="left" vertical="center"/>
    </xf>
    <xf numFmtId="10" fontId="24" fillId="6" borderId="2" xfId="0" applyNumberFormat="1" applyFont="1" applyFill="1" applyBorder="1" applyAlignment="1" applyProtection="1">
      <alignment horizontal="center" vertical="center"/>
    </xf>
    <xf numFmtId="0" fontId="24" fillId="6" borderId="9" xfId="0" applyFont="1" applyFill="1" applyBorder="1" applyAlignment="1" applyProtection="1">
      <alignment horizontal="left" vertical="center"/>
    </xf>
    <xf numFmtId="0" fontId="24" fillId="6" borderId="8" xfId="0" applyFont="1" applyFill="1" applyBorder="1" applyAlignment="1" applyProtection="1">
      <alignment horizontal="left" vertical="center"/>
    </xf>
    <xf numFmtId="10" fontId="24" fillId="6" borderId="2" xfId="0" applyNumberFormat="1" applyFont="1" applyFill="1" applyBorder="1" applyAlignment="1" applyProtection="1">
      <alignment horizontal="left" vertical="center"/>
    </xf>
    <xf numFmtId="0" fontId="24" fillId="6" borderId="2" xfId="0" applyFont="1" applyFill="1" applyBorder="1" applyAlignment="1" applyProtection="1">
      <alignment vertical="center"/>
    </xf>
    <xf numFmtId="0" fontId="24" fillId="6" borderId="9" xfId="0" applyFont="1" applyFill="1" applyBorder="1" applyAlignment="1" applyProtection="1">
      <alignment vertical="center"/>
    </xf>
    <xf numFmtId="0" fontId="23" fillId="6" borderId="0" xfId="0" applyFont="1" applyFill="1" applyBorder="1" applyProtection="1"/>
    <xf numFmtId="0" fontId="14" fillId="6" borderId="0" xfId="0" applyFont="1" applyFill="1" applyBorder="1" applyProtection="1"/>
    <xf numFmtId="0" fontId="16" fillId="6" borderId="0" xfId="0" applyFont="1" applyFill="1" applyBorder="1" applyAlignment="1" applyProtection="1">
      <alignment horizontal="center" vertical="center"/>
    </xf>
    <xf numFmtId="0" fontId="24" fillId="6" borderId="8" xfId="0" applyFont="1" applyFill="1" applyBorder="1" applyAlignment="1" applyProtection="1">
      <alignment vertical="center"/>
    </xf>
    <xf numFmtId="0" fontId="14" fillId="4" borderId="0" xfId="0" applyFont="1" applyFill="1" applyBorder="1" applyAlignment="1">
      <alignment horizontal="left" wrapText="1"/>
    </xf>
    <xf numFmtId="0" fontId="17" fillId="4" borderId="0" xfId="0" applyFont="1" applyFill="1" applyBorder="1" applyAlignment="1">
      <alignment horizontal="left" wrapText="1"/>
    </xf>
    <xf numFmtId="0" fontId="15" fillId="4" borderId="0" xfId="0" applyFont="1" applyFill="1" applyBorder="1" applyAlignment="1">
      <alignment vertical="center"/>
    </xf>
    <xf numFmtId="0" fontId="3" fillId="6" borderId="14" xfId="0" applyFont="1" applyFill="1" applyBorder="1" applyAlignment="1">
      <alignment horizontal="center" vertical="center"/>
    </xf>
    <xf numFmtId="0" fontId="8" fillId="6" borderId="14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4" fontId="18" fillId="2" borderId="14" xfId="0" applyNumberFormat="1" applyFont="1" applyFill="1" applyBorder="1" applyAlignment="1">
      <alignment horizontal="right" vertical="center"/>
    </xf>
    <xf numFmtId="10" fontId="18" fillId="2" borderId="14" xfId="0" applyNumberFormat="1" applyFont="1" applyFill="1" applyBorder="1" applyAlignment="1">
      <alignment horizontal="right" vertical="center"/>
    </xf>
    <xf numFmtId="10" fontId="19" fillId="5" borderId="14" xfId="0" applyNumberFormat="1" applyFont="1" applyFill="1" applyBorder="1" applyAlignment="1">
      <alignment horizontal="right" vertical="center"/>
    </xf>
    <xf numFmtId="10" fontId="19" fillId="4" borderId="14" xfId="1" applyNumberFormat="1" applyFont="1" applyFill="1" applyBorder="1" applyAlignment="1">
      <alignment horizontal="right" vertical="center"/>
    </xf>
    <xf numFmtId="4" fontId="7" fillId="7" borderId="14" xfId="0" applyNumberFormat="1" applyFont="1" applyFill="1" applyBorder="1" applyAlignment="1">
      <alignment horizontal="right" vertical="center"/>
    </xf>
    <xf numFmtId="10" fontId="7" fillId="7" borderId="14" xfId="0" applyNumberFormat="1" applyFont="1" applyFill="1" applyBorder="1" applyAlignment="1">
      <alignment horizontal="right" vertical="center"/>
    </xf>
    <xf numFmtId="10" fontId="7" fillId="7" borderId="14" xfId="1" applyNumberFormat="1" applyFont="1" applyFill="1" applyBorder="1" applyAlignment="1">
      <alignment horizontal="right" vertical="center"/>
    </xf>
    <xf numFmtId="165" fontId="18" fillId="2" borderId="14" xfId="0" applyNumberFormat="1" applyFont="1" applyFill="1" applyBorder="1" applyAlignment="1">
      <alignment vertical="center"/>
    </xf>
    <xf numFmtId="10" fontId="19" fillId="2" borderId="14" xfId="0" applyNumberFormat="1" applyFont="1" applyFill="1" applyBorder="1" applyAlignment="1">
      <alignment horizontal="right" vertical="center"/>
    </xf>
    <xf numFmtId="0" fontId="3" fillId="6" borderId="14" xfId="0" applyFont="1" applyFill="1" applyBorder="1" applyAlignment="1">
      <alignment horizontal="center" vertical="center" wrapText="1"/>
    </xf>
    <xf numFmtId="10" fontId="7" fillId="7" borderId="14" xfId="0" applyNumberFormat="1" applyFont="1" applyFill="1" applyBorder="1" applyAlignment="1">
      <alignment horizontal="right" vertical="center" wrapText="1"/>
    </xf>
    <xf numFmtId="0" fontId="16" fillId="4" borderId="14" xfId="0" applyFont="1" applyFill="1" applyBorder="1" applyAlignment="1">
      <alignment horizontal="center" vertical="center"/>
    </xf>
    <xf numFmtId="1" fontId="7" fillId="7" borderId="14" xfId="0" applyNumberFormat="1" applyFont="1" applyFill="1" applyBorder="1" applyAlignment="1">
      <alignment horizontal="right" vertical="center" indent="1"/>
    </xf>
    <xf numFmtId="0" fontId="8" fillId="6" borderId="14" xfId="0" applyFont="1" applyFill="1" applyBorder="1" applyAlignment="1">
      <alignment horizontal="center" vertical="center" wrapText="1"/>
    </xf>
    <xf numFmtId="10" fontId="8" fillId="6" borderId="14" xfId="0" applyNumberFormat="1" applyFont="1" applyFill="1" applyBorder="1" applyAlignment="1">
      <alignment horizontal="center" vertical="center" wrapText="1"/>
    </xf>
    <xf numFmtId="165" fontId="18" fillId="2" borderId="14" xfId="0" applyNumberFormat="1" applyFont="1" applyFill="1" applyBorder="1" applyAlignment="1">
      <alignment horizontal="right" vertical="center"/>
    </xf>
    <xf numFmtId="165" fontId="7" fillId="7" borderId="14" xfId="0" applyNumberFormat="1" applyFont="1" applyFill="1" applyBorder="1" applyAlignment="1">
      <alignment horizontal="right" vertical="center"/>
    </xf>
    <xf numFmtId="0" fontId="23" fillId="6" borderId="15" xfId="0" applyFont="1" applyFill="1" applyBorder="1" applyProtection="1"/>
    <xf numFmtId="0" fontId="23" fillId="6" borderId="16" xfId="0" applyFont="1" applyFill="1" applyBorder="1" applyProtection="1"/>
    <xf numFmtId="0" fontId="23" fillId="6" borderId="17" xfId="0" applyFont="1" applyFill="1" applyBorder="1" applyProtection="1"/>
    <xf numFmtId="0" fontId="23" fillId="6" borderId="18" xfId="0" applyFont="1" applyFill="1" applyBorder="1" applyProtection="1"/>
    <xf numFmtId="0" fontId="23" fillId="6" borderId="19" xfId="0" applyFont="1" applyFill="1" applyBorder="1" applyProtection="1"/>
    <xf numFmtId="0" fontId="23" fillId="6" borderId="20" xfId="0" applyFont="1" applyFill="1" applyBorder="1" applyProtection="1"/>
    <xf numFmtId="0" fontId="23" fillId="6" borderId="21" xfId="0" applyFont="1" applyFill="1" applyBorder="1" applyProtection="1"/>
    <xf numFmtId="0" fontId="23" fillId="6" borderId="22" xfId="0" applyFont="1" applyFill="1" applyBorder="1" applyProtection="1"/>
    <xf numFmtId="0" fontId="26" fillId="8" borderId="10" xfId="0" applyFont="1" applyFill="1" applyBorder="1" applyAlignment="1" applyProtection="1">
      <alignment horizontal="center" vertical="center"/>
    </xf>
    <xf numFmtId="0" fontId="26" fillId="8" borderId="11" xfId="0" applyFont="1" applyFill="1" applyBorder="1" applyAlignment="1" applyProtection="1">
      <alignment horizontal="center" vertical="center"/>
    </xf>
    <xf numFmtId="0" fontId="28" fillId="6" borderId="0" xfId="0" applyFont="1" applyFill="1" applyAlignment="1">
      <alignment horizontal="center" vertical="center" wrapText="1"/>
    </xf>
    <xf numFmtId="0" fontId="29" fillId="6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left" vertical="center"/>
    </xf>
    <xf numFmtId="0" fontId="28" fillId="6" borderId="0" xfId="0" applyFont="1" applyFill="1" applyAlignment="1">
      <alignment horizontal="center" vertical="center" wrapText="1"/>
    </xf>
    <xf numFmtId="0" fontId="0" fillId="6" borderId="0" xfId="0" applyFill="1"/>
    <xf numFmtId="0" fontId="0" fillId="6" borderId="0" xfId="0" applyFill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01"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rgb="FF2B2D32"/>
        <name val="Aptos Display"/>
        <family val="2"/>
        <scheme val="none"/>
      </font>
      <numFmt numFmtId="14" formatCode="0.00%"/>
      <fill>
        <patternFill patternType="solid">
          <fgColor indexed="64"/>
          <bgColor rgb="FFF1EDE7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rgb="FF2B2D32"/>
        <name val="Aptos Display"/>
        <family val="2"/>
        <scheme val="none"/>
      </font>
      <numFmt numFmtId="14" formatCode="0.00%"/>
      <fill>
        <patternFill patternType="solid">
          <fgColor indexed="64"/>
          <bgColor rgb="FFF1EDE7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Display"/>
        <family val="2"/>
        <scheme val="none"/>
      </font>
      <fill>
        <patternFill patternType="solid">
          <fgColor indexed="64"/>
          <bgColor rgb="FF03708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0E0E0"/>
        </left>
        <right style="thin">
          <color rgb="FFE0E0E0"/>
        </right>
        <top/>
        <bottom/>
        <vertical style="thin">
          <color rgb="FFE0E0E0"/>
        </vertical>
        <horizontal style="thin">
          <color rgb="FFE0E0E0"/>
        </horizontal>
      </border>
    </dxf>
    <dxf>
      <fill>
        <patternFill>
          <bgColor rgb="FF91D1AC"/>
        </patternFill>
      </fill>
    </dxf>
    <dxf>
      <fill>
        <patternFill>
          <bgColor rgb="FFE39072"/>
        </patternFill>
      </fill>
    </dxf>
    <dxf>
      <fill>
        <patternFill>
          <bgColor rgb="FFE39072"/>
        </patternFill>
      </fill>
    </dxf>
    <dxf>
      <fill>
        <patternFill>
          <bgColor rgb="FF91D1AC"/>
        </patternFill>
      </fill>
    </dxf>
    <dxf>
      <fill>
        <patternFill>
          <bgColor rgb="FF91D1AC"/>
        </patternFill>
      </fill>
    </dxf>
    <dxf>
      <fill>
        <patternFill>
          <bgColor rgb="FFE39072"/>
        </patternFill>
      </fill>
    </dxf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border>
        <left style="thin">
          <color rgb="FFE0E0E0"/>
        </left>
        <right style="thin">
          <color rgb="FFE0E0E0"/>
        </right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Display"/>
        <family val="2"/>
        <scheme val="none"/>
      </font>
      <fill>
        <patternFill patternType="solid">
          <fgColor indexed="64"/>
          <bgColor rgb="FF03708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0E0E0"/>
        </left>
        <right style="thin">
          <color rgb="FFE0E0E0"/>
        </right>
        <top/>
        <bottom/>
        <vertical style="thin">
          <color rgb="FFE0E0E0"/>
        </vertical>
        <horizontal style="thin">
          <color rgb="FFE0E0E0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rgb="FF2B2D32"/>
        <name val="Aptos Display"/>
        <family val="2"/>
        <scheme val="none"/>
      </font>
      <numFmt numFmtId="14" formatCode="0.00%"/>
      <fill>
        <patternFill patternType="solid">
          <fgColor indexed="64"/>
          <bgColor rgb="FFF1EDE7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rgb="FFE0E0E0"/>
        </top>
        <bottom style="thin">
          <color rgb="FFE0E0E0"/>
        </bottom>
        <vertical style="thin">
          <color rgb="FFE0E0E0"/>
        </vertical>
        <horizontal style="thin">
          <color rgb="FFE0E0E0"/>
        </horizontal>
      </border>
    </dxf>
    <dxf>
      <fill>
        <patternFill>
          <bgColor rgb="FFB3D4D8"/>
        </patternFill>
      </fill>
    </dxf>
    <dxf>
      <font>
        <color auto="1"/>
      </font>
    </dxf>
    <dxf>
      <fill>
        <patternFill>
          <bgColor rgb="FF03708B"/>
        </patternFill>
      </fill>
    </dxf>
    <dxf>
      <fill>
        <patternFill>
          <bgColor rgb="FF03708B"/>
        </patternFill>
      </fill>
    </dxf>
    <dxf>
      <fill>
        <patternFill>
          <bgColor rgb="FF03708B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</dxf>
    <dxf>
      <fill>
        <patternFill>
          <bgColor rgb="FF1E2A77"/>
        </patternFill>
      </fill>
    </dxf>
    <dxf>
      <fill>
        <patternFill>
          <bgColor rgb="FF1E2A77"/>
        </patternFill>
      </fill>
    </dxf>
    <dxf>
      <fill>
        <patternFill>
          <bgColor rgb="FFF1EDE7"/>
        </patternFill>
      </fill>
    </dxf>
    <dxf>
      <fill>
        <patternFill>
          <bgColor rgb="FFF1EDE7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rgb="FF2B2D32"/>
        <name val="Aptos Display"/>
        <family val="2"/>
        <scheme val="none"/>
      </font>
      <numFmt numFmtId="14" formatCode="0.00%"/>
      <fill>
        <patternFill patternType="solid">
          <fgColor indexed="64"/>
          <bgColor rgb="FFF1EDE7"/>
        </patternFill>
      </fill>
      <alignment horizontal="right" vertical="center" textRotation="0" wrapText="0" indent="0" justifyLastLine="0" shrinkToFit="0" readingOrder="0"/>
    </dxf>
    <dxf>
      <font>
        <color theme="0"/>
      </font>
    </dxf>
    <dxf>
      <font>
        <color theme="0"/>
      </font>
    </dxf>
    <dxf>
      <font>
        <color rgb="FF2B2D32"/>
      </font>
    </dxf>
    <dxf>
      <font>
        <color rgb="FF2B2D32"/>
      </font>
    </dxf>
    <dxf>
      <font>
        <color rgb="FF2B2D32"/>
      </font>
    </dxf>
    <dxf>
      <font>
        <color rgb="FF2B2D32"/>
      </font>
    </dxf>
    <dxf>
      <numFmt numFmtId="165" formatCode="#,##0.00_ ;\-#,##0.00\ "/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0"/>
        </patternFill>
      </fill>
    </dxf>
    <dxf>
      <fill>
        <patternFill>
          <bgColor rgb="FF638EC6"/>
        </patternFill>
      </fill>
    </dxf>
    <dxf>
      <fill>
        <patternFill>
          <bgColor rgb="FF638EC6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4" formatCode="0.00%"/>
    </dxf>
    <dxf>
      <numFmt numFmtId="14" formatCode="0.00%"/>
    </dxf>
    <dxf>
      <alignment wrapText="1"/>
    </dxf>
    <dxf>
      <alignment wrapText="1"/>
    </dxf>
    <dxf>
      <font>
        <name val="Aptos Display"/>
        <scheme val="none"/>
      </font>
    </dxf>
    <dxf>
      <font>
        <name val="Aptos Display"/>
        <scheme val="none"/>
      </font>
    </dxf>
    <dxf>
      <font>
        <name val="Aptos Display"/>
        <scheme val="none"/>
      </font>
    </dxf>
    <dxf>
      <font>
        <name val="Aptos Display"/>
        <scheme val="none"/>
      </font>
    </dxf>
    <dxf>
      <font>
        <name val="Aptos Display"/>
        <scheme val="none"/>
      </font>
    </dxf>
    <dxf>
      <font>
        <name val="Aptos Display"/>
        <scheme val="none"/>
      </font>
    </dxf>
    <dxf>
      <fill>
        <patternFill>
          <bgColor theme="0"/>
        </patternFill>
      </fill>
    </dxf>
    <dxf>
      <font>
        <color theme="1"/>
      </font>
    </dxf>
    <dxf>
      <font>
        <color theme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i/>
      </font>
    </dxf>
    <dxf>
      <alignment horizontal="right"/>
    </dxf>
    <dxf>
      <alignment horizontal="center"/>
    </dxf>
    <dxf>
      <alignment horizontal="center"/>
    </dxf>
    <dxf>
      <font>
        <i/>
      </font>
    </dxf>
    <dxf>
      <alignment horizontal="right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theme="0"/>
      </font>
    </dxf>
    <dxf>
      <font>
        <color theme="0"/>
      </font>
    </dxf>
    <dxf>
      <fill>
        <patternFill patternType="solid">
          <bgColor rgb="FF638EC6"/>
        </patternFill>
      </fill>
    </dxf>
    <dxf>
      <fill>
        <patternFill patternType="solid">
          <bgColor rgb="FF638EC6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638EC6"/>
        </patternFill>
      </fill>
    </dxf>
    <dxf>
      <fill>
        <patternFill patternType="solid">
          <bgColor rgb="FF638EC6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relativeIndent="1"/>
    </dxf>
    <dxf>
      <alignment horizontal="left" relativeIndent="1"/>
    </dxf>
    <dxf>
      <numFmt numFmtId="164" formatCode="_-* #,##0.00\ _€_-;\-* #,##0.00\ _€_-;_-* &quot;-&quot;??\ _€_-;_-@_-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mruColors>
      <color rgb="FF03708B"/>
      <color rgb="FF2B2D32"/>
      <color rgb="FFFFD403"/>
      <color rgb="FFE0E0E0"/>
      <color rgb="FFFEE605"/>
      <color rgb="FF375C4C"/>
      <color rgb="FFE39072"/>
      <color rgb="FFB3D4D8"/>
      <color rgb="FF91D1AC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r>
              <a:rPr lang="en-US" sz="1100" b="1">
                <a:solidFill>
                  <a:srgbClr val="2B2D32"/>
                </a:solidFill>
              </a:rPr>
              <a:t>Cost-Income Ratio and Risk Threshold Analysis</a:t>
            </a:r>
          </a:p>
        </c:rich>
      </c:tx>
      <c:layout>
        <c:manualLayout>
          <c:xMode val="edge"/>
          <c:yMode val="edge"/>
          <c:x val="0.21571057887213813"/>
          <c:y val="2.47769028871391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15988584918345"/>
          <c:y val="0.19391076115485562"/>
          <c:w val="0.75108667393805384"/>
          <c:h val="0.60276763276930811"/>
        </c:manualLayout>
      </c:layout>
      <c:barChart>
        <c:barDir val="col"/>
        <c:grouping val="clustered"/>
        <c:varyColors val="0"/>
        <c:ser>
          <c:idx val="1"/>
          <c:order val="0"/>
          <c:tx>
            <c:v>Cost-Income-Ratio</c:v>
          </c:tx>
          <c:spPr>
            <a:solidFill>
              <a:srgbClr val="03708B"/>
            </a:solidFill>
            <a:ln>
              <a:solidFill>
                <a:srgbClr val="03708B"/>
              </a:solidFill>
            </a:ln>
            <a:effectLst/>
          </c:spPr>
          <c:invertIfNegative val="0"/>
          <c:cat>
            <c:numRef>
              <c:f>Risk_Assessment!$C$11:$C$20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cat>
          <c:val>
            <c:numRef>
              <c:f>Risk_Assessment!$D$11:$D$20</c:f>
              <c:numCache>
                <c:formatCode>#,##0.00</c:formatCode>
                <c:ptCount val="10"/>
                <c:pt idx="0">
                  <c:v>0.42820000000000003</c:v>
                </c:pt>
                <c:pt idx="1">
                  <c:v>0.41649999999999998</c:v>
                </c:pt>
                <c:pt idx="2">
                  <c:v>0.52390000000000003</c:v>
                </c:pt>
                <c:pt idx="3">
                  <c:v>0.44529999999999997</c:v>
                </c:pt>
                <c:pt idx="4">
                  <c:v>0.53449999999999998</c:v>
                </c:pt>
                <c:pt idx="5">
                  <c:v>0.57899999999999996</c:v>
                </c:pt>
                <c:pt idx="6">
                  <c:v>0.6411</c:v>
                </c:pt>
                <c:pt idx="7">
                  <c:v>0.5948</c:v>
                </c:pt>
                <c:pt idx="8">
                  <c:v>0.61309999999999998</c:v>
                </c:pt>
                <c:pt idx="9">
                  <c:v>0.39079999999999998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16-4FC4-99A3-BAB383BDC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5249071"/>
        <c:axId val="1175256751"/>
      </c:barChart>
      <c:lineChart>
        <c:grouping val="standard"/>
        <c:varyColors val="0"/>
        <c:ser>
          <c:idx val="3"/>
          <c:order val="1"/>
          <c:tx>
            <c:v>Risk Theshold</c:v>
          </c:tx>
          <c:spPr>
            <a:ln w="12700" cap="rnd">
              <a:solidFill>
                <a:srgbClr val="E39072"/>
              </a:solidFill>
              <a:round/>
            </a:ln>
            <a:effectLst/>
          </c:spPr>
          <c:marker>
            <c:symbol val="none"/>
          </c:marker>
          <c:val>
            <c:numRef>
              <c:f>Risk_Assessment!$F$11:$F$20</c:f>
              <c:numCache>
                <c:formatCode>#,##0.00</c:formatCode>
                <c:ptCount val="10"/>
                <c:pt idx="0">
                  <c:v>0.6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16-4FC4-99A3-BAB383BDC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5249071"/>
        <c:axId val="1175256751"/>
      </c:lineChart>
      <c:catAx>
        <c:axId val="117524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175256751"/>
        <c:crosses val="autoZero"/>
        <c:auto val="1"/>
        <c:lblAlgn val="ctr"/>
        <c:lblOffset val="100"/>
        <c:noMultiLvlLbl val="0"/>
      </c:catAx>
      <c:valAx>
        <c:axId val="1175256751"/>
        <c:scaling>
          <c:orientation val="minMax"/>
          <c:max val="0.70000000000000007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1" u="none" strike="noStrike" kern="1200" baseline="0">
                    <a:solidFill>
                      <a:srgbClr val="2B2D32"/>
                    </a:solidFill>
                    <a:latin typeface="Aptos Display" panose="020B0004020202020204" pitchFamily="34" charset="0"/>
                    <a:ea typeface="+mn-ea"/>
                    <a:cs typeface="+mn-cs"/>
                  </a:defRPr>
                </a:pPr>
                <a:r>
                  <a:rPr lang="en-US" sz="900" b="0" i="1">
                    <a:solidFill>
                      <a:srgbClr val="2B2D32"/>
                    </a:solidFill>
                  </a:rPr>
                  <a:t>Risk Threshold</a:t>
                </a:r>
              </a:p>
            </c:rich>
          </c:tx>
          <c:layout>
            <c:manualLayout>
              <c:xMode val="edge"/>
              <c:yMode val="edge"/>
              <c:x val="1.3179538515939776E-2"/>
              <c:y val="0.350784609370637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1" u="none" strike="noStrike" kern="1200" baseline="0">
                  <a:solidFill>
                    <a:srgbClr val="2B2D32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17524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895215410212454"/>
          <c:y val="0.94066350162112089"/>
          <c:w val="0.44116719514106978"/>
          <c:h val="4.98803075147521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ptos Display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r>
              <a:rPr lang="en-US" sz="1100" b="1" i="0" u="none" strike="noStrike" baseline="0">
                <a:solidFill>
                  <a:srgbClr val="2B2D32"/>
                </a:solidFill>
              </a:rPr>
              <a:t>Consistent Growth in CET1 vs Total Capital Ratio (2015–2024)</a:t>
            </a:r>
            <a:endParaRPr lang="en-US" sz="1100" b="1">
              <a:solidFill>
                <a:srgbClr val="2B2D32"/>
              </a:solidFill>
              <a:latin typeface="Aptos Display" panose="020B0004020202020204" pitchFamily="34" charset="0"/>
            </a:endParaRPr>
          </a:p>
        </c:rich>
      </c:tx>
      <c:layout>
        <c:manualLayout>
          <c:xMode val="edge"/>
          <c:yMode val="edge"/>
          <c:x val="0.1746746599856836"/>
          <c:y val="4.42989022923858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819993788479456"/>
          <c:y val="0.16171430804400072"/>
          <c:w val="0.76404259126700069"/>
          <c:h val="0.67321740489634829"/>
        </c:manualLayout>
      </c:layout>
      <c:scatterChart>
        <c:scatterStyle val="lineMarker"/>
        <c:varyColors val="0"/>
        <c:ser>
          <c:idx val="0"/>
          <c:order val="0"/>
          <c:tx>
            <c:v>CET1 ratio</c:v>
          </c:tx>
          <c:spPr>
            <a:ln w="19050" cap="rnd">
              <a:solidFill>
                <a:srgbClr val="FFD40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D403"/>
              </a:solidFill>
              <a:ln w="9525">
                <a:solidFill>
                  <a:srgbClr val="FFD403"/>
                </a:solidFill>
              </a:ln>
              <a:effectLst/>
            </c:spPr>
          </c:marker>
          <c:xVal>
            <c:numRef>
              <c:f>Capital_Adequacy!$C$12:$C$21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xVal>
          <c:yVal>
            <c:numRef>
              <c:f>Capital_Adequacy!$E$12:$E$21</c:f>
              <c:numCache>
                <c:formatCode>0.00%</c:formatCode>
                <c:ptCount val="10"/>
                <c:pt idx="0">
                  <c:v>0.1638</c:v>
                </c:pt>
                <c:pt idx="1">
                  <c:v>0.18</c:v>
                </c:pt>
                <c:pt idx="2">
                  <c:v>0.1867</c:v>
                </c:pt>
                <c:pt idx="3">
                  <c:v>0.18590000000000001</c:v>
                </c:pt>
                <c:pt idx="4">
                  <c:v>0.2006</c:v>
                </c:pt>
                <c:pt idx="5">
                  <c:v>0.2039</c:v>
                </c:pt>
                <c:pt idx="6">
                  <c:v>0.2099</c:v>
                </c:pt>
                <c:pt idx="7">
                  <c:v>0.20610000000000001</c:v>
                </c:pt>
                <c:pt idx="8">
                  <c:v>0.21229999999999999</c:v>
                </c:pt>
                <c:pt idx="9">
                  <c:v>0.22470000000000001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76-4AD1-959F-1801299AD604}"/>
            </c:ext>
          </c:extLst>
        </c:ser>
        <c:ser>
          <c:idx val="1"/>
          <c:order val="1"/>
          <c:tx>
            <c:v>Total Capital ratio</c:v>
          </c:tx>
          <c:spPr>
            <a:ln w="19050" cap="rnd">
              <a:solidFill>
                <a:srgbClr val="375C4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375C4C"/>
              </a:solidFill>
              <a:ln w="9525">
                <a:solidFill>
                  <a:srgbClr val="375C4C"/>
                </a:solidFill>
              </a:ln>
              <a:effectLst/>
            </c:spPr>
          </c:marker>
          <c:xVal>
            <c:numRef>
              <c:f>Capital_Adequacy!$C$12:$C$21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xVal>
          <c:yVal>
            <c:numRef>
              <c:f>Capital_Adequacy!$F$12:$F$21</c:f>
              <c:numCache>
                <c:formatCode>0.00%</c:formatCode>
                <c:ptCount val="10"/>
                <c:pt idx="0">
                  <c:v>0.19</c:v>
                </c:pt>
                <c:pt idx="1">
                  <c:v>0.2029</c:v>
                </c:pt>
                <c:pt idx="2">
                  <c:v>0.20730000000000001</c:v>
                </c:pt>
                <c:pt idx="3">
                  <c:v>0.2059</c:v>
                </c:pt>
                <c:pt idx="4">
                  <c:v>0.222</c:v>
                </c:pt>
                <c:pt idx="5">
                  <c:v>0.22289999999999999</c:v>
                </c:pt>
                <c:pt idx="6">
                  <c:v>0.22789999999999999</c:v>
                </c:pt>
                <c:pt idx="7">
                  <c:v>0.22120000000000001</c:v>
                </c:pt>
                <c:pt idx="8">
                  <c:v>0.22509999999999999</c:v>
                </c:pt>
                <c:pt idx="9">
                  <c:v>0.23619999999999999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76-4AD1-959F-1801299AD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09295"/>
        <c:axId val="70406895"/>
      </c:scatterChart>
      <c:valAx>
        <c:axId val="70409295"/>
        <c:scaling>
          <c:orientation val="minMax"/>
          <c:max val="2024"/>
          <c:min val="201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70406895"/>
        <c:crosses val="autoZero"/>
        <c:crossBetween val="midCat"/>
      </c:valAx>
      <c:valAx>
        <c:axId val="70406895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1" u="none" strike="noStrike" kern="1200" baseline="0">
                    <a:solidFill>
                      <a:srgbClr val="2B2D32"/>
                    </a:solidFill>
                    <a:latin typeface="Aptos Display" panose="020B0004020202020204" pitchFamily="34" charset="0"/>
                    <a:ea typeface="+mn-ea"/>
                    <a:cs typeface="+mn-cs"/>
                  </a:defRPr>
                </a:pPr>
                <a:r>
                  <a:rPr lang="en-US" sz="900" b="0" i="1" u="none" strike="noStrike" baseline="0">
                    <a:solidFill>
                      <a:srgbClr val="2B2D32"/>
                    </a:solidFill>
                    <a:latin typeface="Aptos Display" panose="020B0004020202020204" pitchFamily="34" charset="0"/>
                  </a:rPr>
                  <a:t>Capital Ratios (%)</a:t>
                </a:r>
                <a:endParaRPr lang="en-US" sz="900" b="0" i="1">
                  <a:solidFill>
                    <a:srgbClr val="2B2D32"/>
                  </a:solidFill>
                  <a:latin typeface="Aptos Display" panose="020B00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2.1903400864927473E-2"/>
              <c:y val="0.315854003504253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1" u="none" strike="noStrike" kern="1200" baseline="0">
                  <a:solidFill>
                    <a:srgbClr val="2B2D32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9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2854167250446"/>
          <c:y val="0.94283971206012118"/>
          <c:w val="0.41727397995705084"/>
          <c:h val="5.71602879398788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B2D3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r>
              <a:rPr lang="en-US" sz="1100" b="1">
                <a:solidFill>
                  <a:srgbClr val="2B2D32"/>
                </a:solidFill>
              </a:rPr>
              <a:t>Cost-Income Ratio and Risk Threshold Analysis</a:t>
            </a:r>
          </a:p>
        </c:rich>
      </c:tx>
      <c:layout>
        <c:manualLayout>
          <c:xMode val="edge"/>
          <c:yMode val="edge"/>
          <c:x val="0.21571057887213813"/>
          <c:y val="2.47769028871391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15988584918345"/>
          <c:y val="0.19391076115485562"/>
          <c:w val="0.75108667393805384"/>
          <c:h val="0.60276763276930811"/>
        </c:manualLayout>
      </c:layout>
      <c:barChart>
        <c:barDir val="col"/>
        <c:grouping val="clustered"/>
        <c:varyColors val="0"/>
        <c:ser>
          <c:idx val="1"/>
          <c:order val="0"/>
          <c:tx>
            <c:v>Cost-Income-Ratio</c:v>
          </c:tx>
          <c:spPr>
            <a:solidFill>
              <a:srgbClr val="03708B"/>
            </a:solidFill>
            <a:ln>
              <a:solidFill>
                <a:srgbClr val="03708B"/>
              </a:solidFill>
            </a:ln>
            <a:effectLst/>
          </c:spPr>
          <c:invertIfNegative val="0"/>
          <c:cat>
            <c:numRef>
              <c:f>Risk_Assessment!$C$11:$C$20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cat>
          <c:val>
            <c:numRef>
              <c:f>Risk_Assessment!$D$11:$D$20</c:f>
              <c:numCache>
                <c:formatCode>#,##0.00</c:formatCode>
                <c:ptCount val="10"/>
                <c:pt idx="0">
                  <c:v>0.42820000000000003</c:v>
                </c:pt>
                <c:pt idx="1">
                  <c:v>0.41649999999999998</c:v>
                </c:pt>
                <c:pt idx="2">
                  <c:v>0.52390000000000003</c:v>
                </c:pt>
                <c:pt idx="3">
                  <c:v>0.44529999999999997</c:v>
                </c:pt>
                <c:pt idx="4">
                  <c:v>0.53449999999999998</c:v>
                </c:pt>
                <c:pt idx="5">
                  <c:v>0.57899999999999996</c:v>
                </c:pt>
                <c:pt idx="6">
                  <c:v>0.6411</c:v>
                </c:pt>
                <c:pt idx="7">
                  <c:v>0.5948</c:v>
                </c:pt>
                <c:pt idx="8">
                  <c:v>0.61309999999999998</c:v>
                </c:pt>
                <c:pt idx="9">
                  <c:v>0.39079999999999998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A7-4586-9F7C-C2463FFA1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5249071"/>
        <c:axId val="1175256751"/>
      </c:barChart>
      <c:lineChart>
        <c:grouping val="standard"/>
        <c:varyColors val="0"/>
        <c:ser>
          <c:idx val="3"/>
          <c:order val="1"/>
          <c:tx>
            <c:v>Risk Theshold</c:v>
          </c:tx>
          <c:spPr>
            <a:ln w="12700" cap="rnd">
              <a:solidFill>
                <a:srgbClr val="E39072"/>
              </a:solidFill>
              <a:round/>
            </a:ln>
            <a:effectLst/>
          </c:spPr>
          <c:marker>
            <c:symbol val="none"/>
          </c:marker>
          <c:val>
            <c:numRef>
              <c:f>Risk_Assessment!$F$11:$F$20</c:f>
              <c:numCache>
                <c:formatCode>#,##0.00</c:formatCode>
                <c:ptCount val="10"/>
                <c:pt idx="0">
                  <c:v>0.6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A7-4586-9F7C-C2463FFA1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5249071"/>
        <c:axId val="1175256751"/>
      </c:lineChart>
      <c:catAx>
        <c:axId val="117524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175256751"/>
        <c:crosses val="autoZero"/>
        <c:auto val="1"/>
        <c:lblAlgn val="ctr"/>
        <c:lblOffset val="100"/>
        <c:noMultiLvlLbl val="0"/>
      </c:catAx>
      <c:valAx>
        <c:axId val="1175256751"/>
        <c:scaling>
          <c:orientation val="minMax"/>
          <c:max val="0.70000000000000007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1" u="none" strike="noStrike" kern="1200" baseline="0">
                    <a:solidFill>
                      <a:srgbClr val="2B2D32"/>
                    </a:solidFill>
                    <a:latin typeface="Aptos Display" panose="020B0004020202020204" pitchFamily="34" charset="0"/>
                    <a:ea typeface="+mn-ea"/>
                    <a:cs typeface="+mn-cs"/>
                  </a:defRPr>
                </a:pPr>
                <a:r>
                  <a:rPr lang="en-US" sz="900" b="0" i="1">
                    <a:solidFill>
                      <a:srgbClr val="2B2D32"/>
                    </a:solidFill>
                  </a:rPr>
                  <a:t>Risk Threshold</a:t>
                </a:r>
              </a:p>
            </c:rich>
          </c:tx>
          <c:layout>
            <c:manualLayout>
              <c:xMode val="edge"/>
              <c:yMode val="edge"/>
              <c:x val="1.3179538515939776E-2"/>
              <c:y val="0.350784609370637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1" u="none" strike="noStrike" kern="1200" baseline="0">
                  <a:solidFill>
                    <a:srgbClr val="2B2D32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117524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895215410212454"/>
          <c:y val="0.94066350162112089"/>
          <c:w val="0.44116719514106978"/>
          <c:h val="4.98803075147521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rgbClr val="E0E0E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ptos Display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2B2D32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r>
              <a:rPr lang="en-US" sz="1100" b="1" i="0" u="none" strike="noStrike" baseline="0">
                <a:solidFill>
                  <a:srgbClr val="2B2D32"/>
                </a:solidFill>
              </a:rPr>
              <a:t>Consistent Growth in CET1 vs Total Capital Ratio (2015–2024)</a:t>
            </a:r>
            <a:endParaRPr lang="en-US" sz="1100" b="1">
              <a:solidFill>
                <a:srgbClr val="2B2D32"/>
              </a:solidFill>
              <a:latin typeface="Aptos Display" panose="020B0004020202020204" pitchFamily="34" charset="0"/>
            </a:endParaRPr>
          </a:p>
        </c:rich>
      </c:tx>
      <c:layout>
        <c:manualLayout>
          <c:xMode val="edge"/>
          <c:yMode val="edge"/>
          <c:x val="0.1746746599856836"/>
          <c:y val="4.42989022923858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2B2D32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819993788479456"/>
          <c:y val="0.16171430804400072"/>
          <c:w val="0.76404259126700069"/>
          <c:h val="0.67321740489634829"/>
        </c:manualLayout>
      </c:layout>
      <c:scatterChart>
        <c:scatterStyle val="lineMarker"/>
        <c:varyColors val="0"/>
        <c:ser>
          <c:idx val="0"/>
          <c:order val="0"/>
          <c:tx>
            <c:v>CET1 ratio</c:v>
          </c:tx>
          <c:spPr>
            <a:ln w="19050" cap="rnd">
              <a:solidFill>
                <a:srgbClr val="FFD40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D403"/>
              </a:solidFill>
              <a:ln w="9525">
                <a:solidFill>
                  <a:srgbClr val="FFD403"/>
                </a:solidFill>
              </a:ln>
              <a:effectLst/>
            </c:spPr>
          </c:marker>
          <c:xVal>
            <c:numRef>
              <c:f>Capital_Adequacy!$C$12:$C$21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xVal>
          <c:yVal>
            <c:numRef>
              <c:f>Capital_Adequacy!$E$12:$E$21</c:f>
              <c:numCache>
                <c:formatCode>0.00%</c:formatCode>
                <c:ptCount val="10"/>
                <c:pt idx="0">
                  <c:v>0.1638</c:v>
                </c:pt>
                <c:pt idx="1">
                  <c:v>0.18</c:v>
                </c:pt>
                <c:pt idx="2">
                  <c:v>0.1867</c:v>
                </c:pt>
                <c:pt idx="3">
                  <c:v>0.18590000000000001</c:v>
                </c:pt>
                <c:pt idx="4">
                  <c:v>0.2006</c:v>
                </c:pt>
                <c:pt idx="5">
                  <c:v>0.2039</c:v>
                </c:pt>
                <c:pt idx="6">
                  <c:v>0.2099</c:v>
                </c:pt>
                <c:pt idx="7">
                  <c:v>0.20610000000000001</c:v>
                </c:pt>
                <c:pt idx="8">
                  <c:v>0.21229999999999999</c:v>
                </c:pt>
                <c:pt idx="9">
                  <c:v>0.22470000000000001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F3-4181-9F52-C475F0189BF4}"/>
            </c:ext>
          </c:extLst>
        </c:ser>
        <c:ser>
          <c:idx val="1"/>
          <c:order val="1"/>
          <c:tx>
            <c:v>Total Capital ratio</c:v>
          </c:tx>
          <c:spPr>
            <a:ln w="19050" cap="rnd">
              <a:solidFill>
                <a:srgbClr val="375C4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375C4C"/>
              </a:solidFill>
              <a:ln w="9525">
                <a:solidFill>
                  <a:srgbClr val="375C4C"/>
                </a:solidFill>
              </a:ln>
              <a:effectLst/>
            </c:spPr>
          </c:marker>
          <c:xVal>
            <c:numRef>
              <c:f>Capital_Adequacy!$C$12:$C$21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xVal>
          <c:yVal>
            <c:numRef>
              <c:f>Capital_Adequacy!$F$12:$F$21</c:f>
              <c:numCache>
                <c:formatCode>0.00%</c:formatCode>
                <c:ptCount val="10"/>
                <c:pt idx="0">
                  <c:v>0.19</c:v>
                </c:pt>
                <c:pt idx="1">
                  <c:v>0.2029</c:v>
                </c:pt>
                <c:pt idx="2">
                  <c:v>0.20730000000000001</c:v>
                </c:pt>
                <c:pt idx="3">
                  <c:v>0.2059</c:v>
                </c:pt>
                <c:pt idx="4">
                  <c:v>0.222</c:v>
                </c:pt>
                <c:pt idx="5">
                  <c:v>0.22289999999999999</c:v>
                </c:pt>
                <c:pt idx="6">
                  <c:v>0.22789999999999999</c:v>
                </c:pt>
                <c:pt idx="7">
                  <c:v>0.22120000000000001</c:v>
                </c:pt>
                <c:pt idx="8">
                  <c:v>0.22509999999999999</c:v>
                </c:pt>
                <c:pt idx="9">
                  <c:v>0.23619999999999999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F3-4181-9F52-C475F01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09295"/>
        <c:axId val="70406895"/>
      </c:scatterChart>
      <c:valAx>
        <c:axId val="70409295"/>
        <c:scaling>
          <c:orientation val="minMax"/>
          <c:max val="2024"/>
          <c:min val="201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70406895"/>
        <c:crosses val="autoZero"/>
        <c:crossBetween val="midCat"/>
      </c:valAx>
      <c:valAx>
        <c:axId val="70406895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1" u="none" strike="noStrike" kern="1200" baseline="0">
                    <a:solidFill>
                      <a:srgbClr val="2B2D32"/>
                    </a:solidFill>
                    <a:latin typeface="Aptos Display" panose="020B0004020202020204" pitchFamily="34" charset="0"/>
                    <a:ea typeface="+mn-ea"/>
                    <a:cs typeface="+mn-cs"/>
                  </a:defRPr>
                </a:pPr>
                <a:r>
                  <a:rPr lang="en-US" sz="900" b="0" i="1" u="none" strike="noStrike" baseline="0">
                    <a:solidFill>
                      <a:srgbClr val="2B2D32"/>
                    </a:solidFill>
                    <a:latin typeface="Aptos Display" panose="020B0004020202020204" pitchFamily="34" charset="0"/>
                  </a:rPr>
                  <a:t>Capital Ratios (%)</a:t>
                </a:r>
                <a:endParaRPr lang="en-US" sz="900" b="0" i="1">
                  <a:solidFill>
                    <a:srgbClr val="2B2D32"/>
                  </a:solidFill>
                  <a:latin typeface="Aptos Display" panose="020B00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2.1903400864927473E-2"/>
              <c:y val="0.315854003504253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1" u="none" strike="noStrike" kern="1200" baseline="0">
                  <a:solidFill>
                    <a:srgbClr val="2B2D32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9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2854167250446"/>
          <c:y val="0.94283971206012118"/>
          <c:w val="0.41727397995705084"/>
          <c:h val="5.71602879398788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B2D3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95250</xdr:colOff>
      <xdr:row>3</xdr:row>
      <xdr:rowOff>19050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A80B160D-552F-8874-93C2-73C692187A82}"/>
            </a:ext>
          </a:extLst>
        </xdr:cNvPr>
        <xdr:cNvSpPr txBox="1"/>
      </xdr:nvSpPr>
      <xdr:spPr>
        <a:xfrm>
          <a:off x="2533650" y="7556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38100</xdr:colOff>
      <xdr:row>0</xdr:row>
      <xdr:rowOff>120650</xdr:rowOff>
    </xdr:from>
    <xdr:to>
      <xdr:col>18</xdr:col>
      <xdr:colOff>419100</xdr:colOff>
      <xdr:row>4</xdr:row>
      <xdr:rowOff>171450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DE491769-F763-7399-9581-89C1A48E4D15}"/>
            </a:ext>
          </a:extLst>
        </xdr:cNvPr>
        <xdr:cNvSpPr/>
      </xdr:nvSpPr>
      <xdr:spPr>
        <a:xfrm>
          <a:off x="1352550" y="120650"/>
          <a:ext cx="8299450" cy="838200"/>
        </a:xfrm>
        <a:prstGeom prst="roundRect">
          <a:avLst>
            <a:gd name="adj" fmla="val 11667"/>
          </a:avLst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>
              <a:solidFill>
                <a:srgbClr val="2B2D32"/>
              </a:solidFill>
              <a:latin typeface="Aptos Display" panose="020B0004020202020204" pitchFamily="34" charset="0"/>
            </a:rPr>
            <a:t>Bank Performance Dashboard (2015–2024)</a:t>
          </a:r>
        </a:p>
        <a:p>
          <a:pPr algn="l"/>
          <a:r>
            <a:rPr lang="en-US" b="0" i="1">
              <a:solidFill>
                <a:srgbClr val="03708B"/>
              </a:solidFill>
              <a:latin typeface="Aptos Display" panose="020B0004020202020204" pitchFamily="34" charset="0"/>
            </a:rPr>
            <a:t>All amounts in EUR million</a:t>
          </a:r>
          <a:endParaRPr lang="en-US" sz="1100" b="0" i="1">
            <a:solidFill>
              <a:srgbClr val="03708B"/>
            </a:solidFill>
            <a:latin typeface="Aptos Display" panose="020B0004020202020204" pitchFamily="34" charset="0"/>
          </a:endParaRPr>
        </a:p>
      </xdr:txBody>
    </xdr:sp>
    <xdr:clientData/>
  </xdr:twoCellAnchor>
  <xdr:twoCellAnchor editAs="absolute">
    <xdr:from>
      <xdr:col>4</xdr:col>
      <xdr:colOff>6350</xdr:colOff>
      <xdr:row>6</xdr:row>
      <xdr:rowOff>6350</xdr:rowOff>
    </xdr:from>
    <xdr:to>
      <xdr:col>8</xdr:col>
      <xdr:colOff>215900</xdr:colOff>
      <xdr:row>10</xdr:row>
      <xdr:rowOff>0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5C2C11CF-316E-C2C9-63D2-9E0ADC0640EB}"/>
            </a:ext>
          </a:extLst>
        </xdr:cNvPr>
        <xdr:cNvSpPr/>
      </xdr:nvSpPr>
      <xdr:spPr>
        <a:xfrm>
          <a:off x="1320800" y="118745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  <a:latin typeface="Aptos Display" panose="020B0004020202020204" pitchFamily="34" charset="0"/>
            </a:rPr>
            <a:t>Average ROA </a:t>
          </a:r>
          <a:endParaRPr lang="el-GR" b="0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0,07%</a:t>
          </a:r>
        </a:p>
      </xdr:txBody>
    </xdr:sp>
    <xdr:clientData/>
  </xdr:twoCellAnchor>
  <xdr:twoCellAnchor editAs="absolute">
    <xdr:from>
      <xdr:col>18</xdr:col>
      <xdr:colOff>628650</xdr:colOff>
      <xdr:row>0</xdr:row>
      <xdr:rowOff>133350</xdr:rowOff>
    </xdr:from>
    <xdr:to>
      <xdr:col>28</xdr:col>
      <xdr:colOff>158750</xdr:colOff>
      <xdr:row>14</xdr:row>
      <xdr:rowOff>139700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4200EEFF-ACCD-481C-6589-76246029B259}"/>
            </a:ext>
          </a:extLst>
        </xdr:cNvPr>
        <xdr:cNvSpPr/>
      </xdr:nvSpPr>
      <xdr:spPr>
        <a:xfrm>
          <a:off x="9861550" y="133350"/>
          <a:ext cx="5797550" cy="2762250"/>
        </a:xfrm>
        <a:prstGeom prst="roundRect">
          <a:avLst>
            <a:gd name="adj" fmla="val 3334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18</xdr:col>
      <xdr:colOff>615950</xdr:colOff>
      <xdr:row>15</xdr:row>
      <xdr:rowOff>184150</xdr:rowOff>
    </xdr:from>
    <xdr:to>
      <xdr:col>28</xdr:col>
      <xdr:colOff>177800</xdr:colOff>
      <xdr:row>29</xdr:row>
      <xdr:rowOff>190500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FE7CFCCF-3AFA-482B-92C2-F9CA48DE6E3A}"/>
            </a:ext>
          </a:extLst>
        </xdr:cNvPr>
        <xdr:cNvSpPr/>
      </xdr:nvSpPr>
      <xdr:spPr>
        <a:xfrm>
          <a:off x="9848850" y="3098800"/>
          <a:ext cx="5829300" cy="2762250"/>
        </a:xfrm>
        <a:prstGeom prst="roundRect">
          <a:avLst>
            <a:gd name="adj" fmla="val 3334"/>
          </a:avLst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19050</xdr:colOff>
      <xdr:row>15</xdr:row>
      <xdr:rowOff>171450</xdr:rowOff>
    </xdr:from>
    <xdr:to>
      <xdr:col>18</xdr:col>
      <xdr:colOff>419100</xdr:colOff>
      <xdr:row>30</xdr:row>
      <xdr:rowOff>12700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418E97F3-9D47-4604-A9B8-79B390E0F55E}"/>
            </a:ext>
          </a:extLst>
        </xdr:cNvPr>
        <xdr:cNvSpPr/>
      </xdr:nvSpPr>
      <xdr:spPr>
        <a:xfrm>
          <a:off x="1333500" y="3086100"/>
          <a:ext cx="8318500" cy="2794000"/>
        </a:xfrm>
        <a:prstGeom prst="roundRect">
          <a:avLst>
            <a:gd name="adj" fmla="val 3334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12700</xdr:colOff>
      <xdr:row>10</xdr:row>
      <xdr:rowOff>165100</xdr:rowOff>
    </xdr:from>
    <xdr:to>
      <xdr:col>9</xdr:col>
      <xdr:colOff>0</xdr:colOff>
      <xdr:row>15</xdr:row>
      <xdr:rowOff>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9509957-458F-4FAC-8CA9-2CE70E1EE8EC}"/>
            </a:ext>
          </a:extLst>
        </xdr:cNvPr>
        <xdr:cNvSpPr/>
      </xdr:nvSpPr>
      <xdr:spPr>
        <a:xfrm>
          <a:off x="1327150" y="213360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  <a:latin typeface="Aptos Display" panose="020B0004020202020204" pitchFamily="34" charset="0"/>
            </a:rPr>
            <a:t>Average CET1</a:t>
          </a: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19,74%</a:t>
          </a:r>
          <a:endParaRPr lang="en-US" sz="1600">
            <a:solidFill>
              <a:srgbClr val="03708B"/>
            </a:solidFill>
            <a:latin typeface="Aptos Display" panose="020B0004020202020204" pitchFamily="34" charset="0"/>
          </a:endParaRPr>
        </a:p>
      </xdr:txBody>
    </xdr:sp>
    <xdr:clientData/>
  </xdr:twoCellAnchor>
  <xdr:twoCellAnchor editAs="absolute">
    <xdr:from>
      <xdr:col>14</xdr:col>
      <xdr:colOff>209550</xdr:colOff>
      <xdr:row>6</xdr:row>
      <xdr:rowOff>0</xdr:rowOff>
    </xdr:from>
    <xdr:to>
      <xdr:col>18</xdr:col>
      <xdr:colOff>412750</xdr:colOff>
      <xdr:row>9</xdr:row>
      <xdr:rowOff>190500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D8A5BDAA-61BE-4429-8B14-21BC3B7F765B}"/>
            </a:ext>
          </a:extLst>
        </xdr:cNvPr>
        <xdr:cNvSpPr/>
      </xdr:nvSpPr>
      <xdr:spPr>
        <a:xfrm>
          <a:off x="6946900" y="118110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rgbClr val="03708B"/>
              </a:solidFill>
            </a:rPr>
            <a:t>Median Cost–Income</a:t>
          </a:r>
          <a:r>
            <a:rPr lang="el-GR" sz="1100" b="0">
              <a:solidFill>
                <a:srgbClr val="03708B"/>
              </a:solidFill>
            </a:rPr>
            <a:t> </a:t>
          </a:r>
          <a:r>
            <a:rPr lang="en-US" sz="1100" b="0">
              <a:solidFill>
                <a:srgbClr val="03708B"/>
              </a:solidFill>
            </a:rPr>
            <a:t>Ratio </a:t>
          </a:r>
        </a:p>
        <a:p>
          <a:pPr algn="ctr"/>
          <a:endParaRPr lang="en-US" sz="1100" b="1">
            <a:solidFill>
              <a:srgbClr val="03708B"/>
            </a:solidFill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52,92</a:t>
          </a:r>
          <a:r>
            <a:rPr lang="en-US" sz="1600" b="1">
              <a:solidFill>
                <a:srgbClr val="03708B"/>
              </a:solidFill>
            </a:rPr>
            <a:t>%</a:t>
          </a:r>
        </a:p>
      </xdr:txBody>
    </xdr:sp>
    <xdr:clientData/>
  </xdr:twoCellAnchor>
  <xdr:twoCellAnchor editAs="absolute">
    <xdr:from>
      <xdr:col>14</xdr:col>
      <xdr:colOff>215900</xdr:colOff>
      <xdr:row>10</xdr:row>
      <xdr:rowOff>177800</xdr:rowOff>
    </xdr:from>
    <xdr:to>
      <xdr:col>18</xdr:col>
      <xdr:colOff>419100</xdr:colOff>
      <xdr:row>15</xdr:row>
      <xdr:rowOff>12700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A20DE03C-DE21-4490-9928-0115DC64829B}"/>
            </a:ext>
          </a:extLst>
        </xdr:cNvPr>
        <xdr:cNvSpPr/>
      </xdr:nvSpPr>
      <xdr:spPr>
        <a:xfrm>
          <a:off x="6953250" y="214630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</a:rPr>
            <a:t>Highest Net Income </a:t>
          </a: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</a:rPr>
            <a:t>150,12 EUR m</a:t>
          </a:r>
          <a:endParaRPr lang="en-US" sz="1600">
            <a:solidFill>
              <a:srgbClr val="03708B"/>
            </a:solidFill>
          </a:endParaRPr>
        </a:p>
      </xdr:txBody>
    </xdr:sp>
    <xdr:clientData/>
  </xdr:twoCellAnchor>
  <xdr:twoCellAnchor editAs="absolute">
    <xdr:from>
      <xdr:col>9</xdr:col>
      <xdr:colOff>107950</xdr:colOff>
      <xdr:row>6</xdr:row>
      <xdr:rowOff>6350</xdr:rowOff>
    </xdr:from>
    <xdr:to>
      <xdr:col>14</xdr:col>
      <xdr:colOff>95250</xdr:colOff>
      <xdr:row>10</xdr:row>
      <xdr:rowOff>0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EDD5E3EF-61C3-4C88-B51F-B0E3B840A334}"/>
            </a:ext>
          </a:extLst>
        </xdr:cNvPr>
        <xdr:cNvSpPr/>
      </xdr:nvSpPr>
      <xdr:spPr>
        <a:xfrm>
          <a:off x="4133850" y="118745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  <a:latin typeface="Aptos Display" panose="020B0004020202020204" pitchFamily="34" charset="0"/>
            </a:rPr>
            <a:t>ROA Std.</a:t>
          </a:r>
          <a:r>
            <a:rPr lang="en-US" b="0" baseline="0">
              <a:solidFill>
                <a:srgbClr val="03708B"/>
              </a:solidFill>
              <a:latin typeface="Aptos Display" panose="020B0004020202020204" pitchFamily="34" charset="0"/>
            </a:rPr>
            <a:t> Deviation</a:t>
          </a:r>
          <a:endParaRPr lang="en-US" b="0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0,03%</a:t>
          </a:r>
          <a:endParaRPr lang="en-US" sz="1600">
            <a:solidFill>
              <a:srgbClr val="03708B"/>
            </a:solidFill>
            <a:latin typeface="Aptos Display" panose="020B0004020202020204" pitchFamily="34" charset="0"/>
          </a:endParaRPr>
        </a:p>
      </xdr:txBody>
    </xdr:sp>
    <xdr:clientData/>
  </xdr:twoCellAnchor>
  <xdr:twoCellAnchor editAs="absolute">
    <xdr:from>
      <xdr:col>9</xdr:col>
      <xdr:colOff>107950</xdr:colOff>
      <xdr:row>10</xdr:row>
      <xdr:rowOff>171450</xdr:rowOff>
    </xdr:from>
    <xdr:to>
      <xdr:col>14</xdr:col>
      <xdr:colOff>95250</xdr:colOff>
      <xdr:row>15</xdr:row>
      <xdr:rowOff>6350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A0FC822B-BB88-4116-8349-018CC207F8C6}"/>
            </a:ext>
          </a:extLst>
        </xdr:cNvPr>
        <xdr:cNvSpPr/>
      </xdr:nvSpPr>
      <xdr:spPr>
        <a:xfrm>
          <a:off x="4133850" y="2139950"/>
          <a:ext cx="2698750" cy="781050"/>
        </a:xfrm>
        <a:prstGeom prst="roundRect">
          <a:avLst>
            <a:gd name="adj" fmla="val 8975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b="0">
              <a:solidFill>
                <a:srgbClr val="03708B"/>
              </a:solidFill>
              <a:latin typeface="Aptos Display" panose="020B0004020202020204" pitchFamily="34" charset="0"/>
            </a:rPr>
            <a:t>Average Total Assets</a:t>
          </a:r>
        </a:p>
        <a:p>
          <a:pPr algn="ctr"/>
          <a:endParaRPr lang="en-US" b="1">
            <a:solidFill>
              <a:srgbClr val="03708B"/>
            </a:solidFill>
            <a:latin typeface="Aptos Display" panose="020B0004020202020204" pitchFamily="34" charset="0"/>
          </a:endParaRPr>
        </a:p>
        <a:p>
          <a:pPr algn="ctr"/>
          <a:r>
            <a:rPr lang="en-US" sz="1600" b="1">
              <a:solidFill>
                <a:srgbClr val="03708B"/>
              </a:solidFill>
              <a:latin typeface="Aptos Display" panose="020B0004020202020204" pitchFamily="34" charset="0"/>
            </a:rPr>
            <a:t>82.281,14 EUR mn</a:t>
          </a:r>
          <a:endParaRPr lang="en-US" sz="1600">
            <a:solidFill>
              <a:srgbClr val="03708B"/>
            </a:solidFill>
            <a:latin typeface="Aptos Display" panose="020B0004020202020204" pitchFamily="34" charset="0"/>
          </a:endParaRPr>
        </a:p>
      </xdr:txBody>
    </xdr:sp>
    <xdr:clientData/>
  </xdr:twoCellAnchor>
  <xdr:twoCellAnchor editAs="oneCell">
    <xdr:from>
      <xdr:col>4</xdr:col>
      <xdr:colOff>279400</xdr:colOff>
      <xdr:row>16</xdr:row>
      <xdr:rowOff>184150</xdr:rowOff>
    </xdr:from>
    <xdr:to>
      <xdr:col>18</xdr:col>
      <xdr:colOff>164506</xdr:colOff>
      <xdr:row>29</xdr:row>
      <xdr:rowOff>8843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4F33761-AA1C-5B6F-0B38-9A336907F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93850" y="3295650"/>
          <a:ext cx="7803556" cy="2383743"/>
        </a:xfrm>
        <a:prstGeom prst="rect">
          <a:avLst/>
        </a:prstGeom>
      </xdr:spPr>
    </xdr:pic>
    <xdr:clientData/>
  </xdr:twoCellAnchor>
  <xdr:twoCellAnchor>
    <xdr:from>
      <xdr:col>18</xdr:col>
      <xdr:colOff>660400</xdr:colOff>
      <xdr:row>16</xdr:row>
      <xdr:rowOff>25400</xdr:rowOff>
    </xdr:from>
    <xdr:to>
      <xdr:col>28</xdr:col>
      <xdr:colOff>127000</xdr:colOff>
      <xdr:row>29</xdr:row>
      <xdr:rowOff>146050</xdr:rowOff>
    </xdr:to>
    <xdr:graphicFrame macro="">
      <xdr:nvGraphicFramePr>
        <xdr:cNvPr id="6" name="Chart 5" descr="Cost-Income Ratio and Risk Threshold Analysis&#10;">
          <a:extLst>
            <a:ext uri="{FF2B5EF4-FFF2-40B4-BE49-F238E27FC236}">
              <a16:creationId xmlns:a16="http://schemas.microsoft.com/office/drawing/2014/main" id="{D76B9FD0-AF78-4ECE-9E1F-E0B3B698BDA5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6350</xdr:colOff>
      <xdr:row>0</xdr:row>
      <xdr:rowOff>184150</xdr:rowOff>
    </xdr:from>
    <xdr:to>
      <xdr:col>28</xdr:col>
      <xdr:colOff>107950</xdr:colOff>
      <xdr:row>14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BC2BBB2-3F7E-4694-8E72-03CD727720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0</xdr:colOff>
      <xdr:row>5</xdr:row>
      <xdr:rowOff>146050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D46DF4AC-7BB3-579F-942D-CC5F20762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30300" cy="1130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8</xdr:row>
      <xdr:rowOff>247650</xdr:rowOff>
    </xdr:from>
    <xdr:to>
      <xdr:col>17</xdr:col>
      <xdr:colOff>50800</xdr:colOff>
      <xdr:row>20</xdr:row>
      <xdr:rowOff>209550</xdr:rowOff>
    </xdr:to>
    <xdr:graphicFrame macro="">
      <xdr:nvGraphicFramePr>
        <xdr:cNvPr id="22" name="Chart 21" descr="Cost-Income Ratio and Risk Threshold Analysis&#10;">
          <a:extLst>
            <a:ext uri="{FF2B5EF4-FFF2-40B4-BE49-F238E27FC236}">
              <a16:creationId xmlns:a16="http://schemas.microsoft.com/office/drawing/2014/main" id="{56F78D1B-A53E-8845-426D-A30F20379F02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635000</xdr:colOff>
      <xdr:row>9</xdr:row>
      <xdr:rowOff>146050</xdr:rowOff>
    </xdr:from>
    <xdr:to>
      <xdr:col>17</xdr:col>
      <xdr:colOff>0</xdr:colOff>
      <xdr:row>21</xdr:row>
      <xdr:rowOff>209550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8B05C0-A541-4A0C-BE11-9F288C8263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571500</xdr:colOff>
      <xdr:row>23</xdr:row>
      <xdr:rowOff>139700</xdr:rowOff>
    </xdr:from>
    <xdr:to>
      <xdr:col>6</xdr:col>
      <xdr:colOff>571500</xdr:colOff>
      <xdr:row>25</xdr:row>
      <xdr:rowOff>12700</xdr:rowOff>
    </xdr:to>
    <xdr:sp macro="[0]!RunScenario" textlink="">
      <xdr:nvSpPr>
        <xdr:cNvPr id="7" name="Rectangle 6">
          <a:extLst>
            <a:ext uri="{FF2B5EF4-FFF2-40B4-BE49-F238E27FC236}">
              <a16:creationId xmlns:a16="http://schemas.microsoft.com/office/drawing/2014/main" id="{3CFC5BA8-BD55-BEF2-AFF9-114C0930F0D0}"/>
            </a:ext>
          </a:extLst>
        </xdr:cNvPr>
        <xdr:cNvSpPr/>
      </xdr:nvSpPr>
      <xdr:spPr>
        <a:xfrm>
          <a:off x="2832100" y="4140200"/>
          <a:ext cx="1206500" cy="228600"/>
        </a:xfrm>
        <a:prstGeom prst="rect">
          <a:avLst/>
        </a:prstGeom>
        <a:solidFill>
          <a:srgbClr val="B3D4D8"/>
        </a:solidFill>
        <a:ln w="1270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2B2D32"/>
              </a:solidFill>
              <a:latin typeface="Aptos Display" panose="020B0004020202020204" pitchFamily="34" charset="0"/>
            </a:rPr>
            <a:t>Run Scenario</a:t>
          </a:r>
        </a:p>
      </xdr:txBody>
    </xdr:sp>
    <xdr:clientData/>
  </xdr:twoCellAnchor>
  <xdr:twoCellAnchor editAs="absolute">
    <xdr:from>
      <xdr:col>12</xdr:col>
      <xdr:colOff>69850</xdr:colOff>
      <xdr:row>23</xdr:row>
      <xdr:rowOff>158750</xdr:rowOff>
    </xdr:from>
    <xdr:to>
      <xdr:col>14</xdr:col>
      <xdr:colOff>69850</xdr:colOff>
      <xdr:row>25</xdr:row>
      <xdr:rowOff>19050</xdr:rowOff>
    </xdr:to>
    <xdr:sp macro="[0]!ResetScenario" textlink="">
      <xdr:nvSpPr>
        <xdr:cNvPr id="8" name="Rectangle 7">
          <a:extLst>
            <a:ext uri="{FF2B5EF4-FFF2-40B4-BE49-F238E27FC236}">
              <a16:creationId xmlns:a16="http://schemas.microsoft.com/office/drawing/2014/main" id="{63C9B2C5-304F-0532-10A7-689EB9196047}"/>
            </a:ext>
          </a:extLst>
        </xdr:cNvPr>
        <xdr:cNvSpPr/>
      </xdr:nvSpPr>
      <xdr:spPr>
        <a:xfrm>
          <a:off x="6750050" y="4159250"/>
          <a:ext cx="1206500" cy="215900"/>
        </a:xfrm>
        <a:prstGeom prst="rect">
          <a:avLst/>
        </a:prstGeom>
        <a:solidFill>
          <a:srgbClr val="B3D4D8"/>
        </a:solidFill>
        <a:ln w="1270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2B2D32"/>
              </a:solidFill>
              <a:latin typeface="Aptos Display" panose="020B0004020202020204" pitchFamily="34" charset="0"/>
            </a:rPr>
            <a:t>Reset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tadev97" refreshedDate="45900.346289814814" createdVersion="8" refreshedVersion="8" minRefreshableVersion="3" recordCount="10" xr:uid="{13CBFF70-7BB0-4EFD-8546-B164AD409DDF}">
  <cacheSource type="worksheet">
    <worksheetSource ref="C11:C21" sheet="Capital_Adequacy"/>
  </cacheSource>
  <cacheFields count="5">
    <cacheField name="Year" numFmtId="0">
      <sharedItems containsSemiMixedTypes="0" containsString="0" containsNumber="1" containsInteger="1" minValue="2015" maxValue="2024" count="10">
        <n v="2015"/>
        <n v="2016"/>
        <n v="2017"/>
        <n v="2018"/>
        <n v="2019"/>
        <n v="2020"/>
        <n v="2021"/>
        <n v="2022"/>
        <n v="2023"/>
        <n v="2024"/>
      </sharedItems>
    </cacheField>
    <cacheField name="Total assets" numFmtId="4">
      <sharedItems containsSemiMixedTypes="0" containsString="0" containsNumber="1" minValue="69608.87" maxValue="95118.26"/>
    </cacheField>
    <cacheField name="_x000a_CET1 ratio" numFmtId="10">
      <sharedItems containsSemiMixedTypes="0" containsString="0" containsNumber="1" minValue="0.1638" maxValue="0.22470000000000001"/>
    </cacheField>
    <cacheField name="Total capital ratio" numFmtId="10">
      <sharedItems containsSemiMixedTypes="0" containsString="0" containsNumber="1" minValue="0.19" maxValue="0.23619999999999999"/>
    </cacheField>
    <cacheField name="Leverage Ratio" numFmtId="10">
      <sharedItems containsSemiMixedTypes="0" containsString="0" containsNumber="1" minValue="3.9100000000000003E-2" maxValue="7.8200000000000006E-2" count="10">
        <n v="3.9100000000000003E-2"/>
        <n v="4.3700000000000003E-2"/>
        <n v="4.8099999999999997E-2"/>
        <n v="5.1200000000000002E-2"/>
        <n v="4.8599999999999997E-2"/>
        <n v="4.5600000000000002E-2"/>
        <n v="7.8200000000000006E-2"/>
        <n v="7.0499999999999993E-2"/>
        <n v="7.0000000000000007E-2"/>
        <n v="7.3800000000000004E-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n v="73294.92"/>
    <n v="0.1638"/>
    <n v="0.19"/>
    <x v="0"/>
  </r>
  <r>
    <x v="1"/>
    <n v="75075.39"/>
    <n v="0.18"/>
    <n v="0.2029"/>
    <x v="1"/>
  </r>
  <r>
    <x v="2"/>
    <n v="70669.98"/>
    <n v="0.1867"/>
    <n v="0.20730000000000001"/>
    <x v="2"/>
  </r>
  <r>
    <x v="3"/>
    <n v="69608.87"/>
    <n v="0.18590000000000001"/>
    <n v="0.2059"/>
    <x v="3"/>
  </r>
  <r>
    <x v="4"/>
    <n v="77622.559999999998"/>
    <n v="0.2006"/>
    <n v="0.222"/>
    <x v="4"/>
  </r>
  <r>
    <x v="5"/>
    <n v="86759.63"/>
    <n v="0.2039"/>
    <n v="0.22289999999999999"/>
    <x v="5"/>
  </r>
  <r>
    <x v="6"/>
    <n v="89597.02"/>
    <n v="0.2099"/>
    <n v="0.22789999999999999"/>
    <x v="6"/>
  </r>
  <r>
    <x v="7"/>
    <n v="93226.58"/>
    <n v="0.20610000000000001"/>
    <n v="0.22120000000000001"/>
    <x v="7"/>
  </r>
  <r>
    <x v="8"/>
    <n v="95118.26"/>
    <n v="0.21229999999999999"/>
    <n v="0.22509999999999999"/>
    <x v="8"/>
  </r>
  <r>
    <x v="9"/>
    <n v="91838.23"/>
    <n v="0.22470000000000001"/>
    <n v="0.23619999999999999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4E0C0-F422-4700-82E2-7B6A628589EF}" name="CapitalAdequacy_Pivot" cacheId="0" applyNumberFormats="0" applyBorderFormats="0" applyFontFormats="0" applyPatternFormats="0" applyAlignmentFormats="0" applyWidthHeightFormats="1" dataCaption="Values" grandTotalCaption="Average Total" updatedVersion="8" minRefreshableVersion="3" itemPrintTitles="1" createdVersion="8" indent="0" outline="1" outlineData="1" multipleFieldFilters="0" rowHeaderCaption="Year">
  <location ref="C11:G22" firstHeaderRow="0" firstDataRow="1" firstDataCol="1"/>
  <pivotFields count="5"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numFmtId="4" showAll="0"/>
    <pivotField dataField="1" numFmtId="10" showAll="0"/>
    <pivotField dataField="1" numFmtId="10" showAll="0"/>
    <pivotField dataField="1" numFmtId="10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assets " fld="1" subtotal="average" baseField="0" baseItem="0" numFmtId="165"/>
    <dataField name="CET1 ratio " fld="2" subtotal="average" baseField="0" baseItem="0" numFmtId="10"/>
    <dataField name="Total capital ratio " fld="3" subtotal="average" baseField="0" baseItem="0" numFmtId="10"/>
    <dataField name="Leverage Ratio " fld="4" subtotal="average" baseField="0" baseItem="0" numFmtId="10"/>
  </dataFields>
  <formats count="89">
    <format dxfId="100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99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9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9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95">
      <pivotArea type="all" dataOnly="0" outline="0" fieldPosition="0"/>
    </format>
    <format dxfId="94">
      <pivotArea outline="0" collapsedLevelsAreSubtotals="1" fieldPosition="0"/>
    </format>
    <format dxfId="93">
      <pivotArea field="0" type="button" dataOnly="0" labelOnly="1" outline="0" axis="axisRow" fieldPosition="0"/>
    </format>
    <format dxfId="92">
      <pivotArea dataOnly="0" labelOnly="1" fieldPosition="0">
        <references count="1">
          <reference field="0" count="0"/>
        </references>
      </pivotArea>
    </format>
    <format dxfId="91">
      <pivotArea dataOnly="0" labelOnly="1" grandRow="1" outline="0" fieldPosition="0"/>
    </format>
    <format dxfId="9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89">
      <pivotArea type="all" dataOnly="0" outline="0" fieldPosition="0"/>
    </format>
    <format dxfId="88">
      <pivotArea outline="0" collapsedLevelsAreSubtotals="1" fieldPosition="0"/>
    </format>
    <format dxfId="87">
      <pivotArea field="0" type="button" dataOnly="0" labelOnly="1" outline="0" axis="axisRow" fieldPosition="0"/>
    </format>
    <format dxfId="86">
      <pivotArea dataOnly="0" labelOnly="1" fieldPosition="0">
        <references count="1">
          <reference field="0" count="0"/>
        </references>
      </pivotArea>
    </format>
    <format dxfId="85">
      <pivotArea dataOnly="0" labelOnly="1" grandRow="1" outline="0" fieldPosition="0"/>
    </format>
    <format dxfId="8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83">
      <pivotArea field="0" type="button" dataOnly="0" labelOnly="1" outline="0" axis="axisRow" fieldPosition="0"/>
    </format>
    <format dxfId="8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81">
      <pivotArea field="0" type="button" dataOnly="0" labelOnly="1" outline="0" axis="axisRow" fieldPosition="0"/>
    </format>
    <format dxfId="8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79">
      <pivotArea grandRow="1" outline="0" collapsedLevelsAreSubtotals="1" fieldPosition="0"/>
    </format>
    <format dxfId="78">
      <pivotArea dataOnly="0" labelOnly="1" grandRow="1" outline="0" fieldPosition="0"/>
    </format>
    <format dxfId="77">
      <pivotArea grandRow="1" outline="0" collapsedLevelsAreSubtotals="1" fieldPosition="0"/>
    </format>
    <format dxfId="76">
      <pivotArea dataOnly="0" labelOnly="1" grandRow="1" outline="0" fieldPosition="0"/>
    </format>
    <format dxfId="75">
      <pivotArea collapsedLevelsAreSubtotals="1" fieldPosition="0">
        <references count="1">
          <reference field="0" count="0"/>
        </references>
      </pivotArea>
    </format>
    <format dxfId="74">
      <pivotArea dataOnly="0" labelOnly="1" fieldPosition="0">
        <references count="1">
          <reference field="0" count="0"/>
        </references>
      </pivotArea>
    </format>
    <format dxfId="73">
      <pivotArea dataOnly="0" labelOnly="1" fieldPosition="0">
        <references count="1">
          <reference field="0" count="0"/>
        </references>
      </pivotArea>
    </format>
    <format dxfId="72">
      <pivotArea collapsedLevelsAreSubtotals="1" fieldPosition="0">
        <references count="1">
          <reference field="0" count="0"/>
        </references>
      </pivotArea>
    </format>
    <format dxfId="71">
      <pivotArea collapsedLevelsAreSubtotals="1" fieldPosition="0">
        <references count="1">
          <reference field="0" count="0"/>
        </references>
      </pivotArea>
    </format>
    <format dxfId="70">
      <pivotArea field="0" type="button" dataOnly="0" labelOnly="1" outline="0" axis="axisRow" fieldPosition="0"/>
    </format>
    <format dxfId="6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8">
      <pivotArea grandRow="1" outline="0" collapsedLevelsAreSubtotals="1" fieldPosition="0"/>
    </format>
    <format dxfId="67">
      <pivotArea grandRow="1" outline="0" collapsedLevelsAreSubtotals="1" fieldPosition="0"/>
    </format>
    <format dxfId="66">
      <pivotArea grandRow="1" outline="0" collapsedLevelsAreSubtotals="1" fieldPosition="0"/>
    </format>
    <format dxfId="65">
      <pivotArea grandRow="1" outline="0" collapsedLevelsAreSubtotals="1" fieldPosition="0"/>
    </format>
    <format dxfId="64">
      <pivotArea dataOnly="0" labelOnly="1" grandRow="1" outline="0" fieldPosition="0"/>
    </format>
    <format dxfId="63">
      <pivotArea field="0" type="button" dataOnly="0" labelOnly="1" outline="0" axis="axisRow" fieldPosition="0"/>
    </format>
    <format dxfId="6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1">
      <pivotArea grandRow="1" outline="0" collapsedLevelsAreSubtotals="1" fieldPosition="0"/>
    </format>
    <format dxfId="60">
      <pivotArea dataOnly="0" labelOnly="1" grandRow="1" outline="0" fieldPosition="0"/>
    </format>
    <format dxfId="59">
      <pivotArea dataOnly="0" labelOnly="1" grandRow="1" outline="0" fieldPosition="0"/>
    </format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0" type="button" dataOnly="0" labelOnly="1" outline="0" axis="axisRow" fieldPosition="0"/>
    </format>
    <format dxfId="55">
      <pivotArea dataOnly="0" labelOnly="1" fieldPosition="0">
        <references count="1">
          <reference field="0" count="0"/>
        </references>
      </pivotArea>
    </format>
    <format dxfId="54">
      <pivotArea dataOnly="0" labelOnly="1" grandRow="1" outline="0" fieldPosition="0"/>
    </format>
    <format dxfId="5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2">
      <pivotArea field="0" type="button" dataOnly="0" labelOnly="1" outline="0" axis="axisRow" fieldPosition="0"/>
    </format>
    <format dxfId="5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0">
      <pivotArea collapsedLevelsAreSubtotals="1" fieldPosition="0">
        <references count="2">
          <reference field="4294967294" count="1" selected="0">
            <x v="1"/>
          </reference>
          <reference field="0" count="0"/>
        </references>
      </pivotArea>
    </format>
    <format dxfId="4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8">
      <pivotArea type="all" dataOnly="0" outline="0" fieldPosition="0"/>
    </format>
    <format dxfId="47">
      <pivotArea outline="0" collapsedLevelsAreSubtotals="1" fieldPosition="0"/>
    </format>
    <format dxfId="46">
      <pivotArea dataOnly="0" labelOnly="1" grandRow="1" outline="0" fieldPosition="0"/>
    </format>
    <format dxfId="45">
      <pivotArea field="0" type="button" dataOnly="0" labelOnly="1" outline="0" axis="axisRow" fieldPosition="0"/>
    </format>
    <format dxfId="4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3">
      <pivotArea dataOnly="0" labelOnly="1" fieldPosition="0">
        <references count="1">
          <reference field="0" count="0"/>
        </references>
      </pivotArea>
    </format>
    <format dxfId="42">
      <pivotArea type="all" dataOnly="0" outline="0" fieldPosition="0"/>
    </format>
    <format dxfId="41">
      <pivotArea outline="0" collapsedLevelsAreSubtotals="1" fieldPosition="0"/>
    </format>
    <format dxfId="40">
      <pivotArea field="0" type="button" dataOnly="0" labelOnly="1" outline="0" axis="axisRow" fieldPosition="0"/>
    </format>
    <format dxfId="39">
      <pivotArea dataOnly="0" labelOnly="1" fieldPosition="0">
        <references count="1">
          <reference field="0" count="0"/>
        </references>
      </pivotArea>
    </format>
    <format dxfId="38">
      <pivotArea dataOnly="0" labelOnly="1" grandRow="1" outline="0" fieldPosition="0"/>
    </format>
    <format dxfId="3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dataOnly="0" labelOnly="1" fieldPosition="0">
        <references count="1">
          <reference field="0" count="0"/>
        </references>
      </pivotArea>
    </format>
    <format dxfId="32">
      <pivotArea dataOnly="0" labelOnly="1" grandRow="1" outline="0" fieldPosition="0"/>
    </format>
    <format dxfId="31">
      <pivotArea field="0" type="button" dataOnly="0" labelOnly="1" outline="0" axis="axisRow" fieldPosition="0"/>
    </format>
    <format dxfId="3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grandRow="1" outline="0" collapsedLevelsAreSubtotals="1" fieldPosition="0"/>
    </format>
    <format dxfId="25">
      <pivotArea dataOnly="0" labelOnly="1" grandRow="1" outline="0" fieldPosition="0"/>
    </format>
    <format dxfId="24">
      <pivotArea dataOnly="0" labelOnly="1" grandRow="1" outline="0" fieldPosition="0"/>
    </format>
    <format dxfId="23">
      <pivotArea collapsedLevelsAreSubtotals="1" fieldPosition="0">
        <references count="1">
          <reference field="0" count="0"/>
        </references>
      </pivotArea>
    </format>
    <format dxfId="22">
      <pivotArea dataOnly="0" labelOnly="1" fieldPosition="0">
        <references count="1">
          <reference field="0" count="0"/>
        </references>
      </pivotArea>
    </format>
    <format dxfId="21">
      <pivotArea field="0" type="button" dataOnly="0" labelOnly="1" outline="0" axis="axisRow" fieldPosition="0"/>
    </format>
    <format dxfId="2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9">
      <pivotArea dataOnly="0" grandRow="1" axis="axisRow" fieldPosition="0"/>
    </format>
    <format dxfId="18">
      <pivotArea grandRow="1" outline="0" collapsedLevelsAreSubtotals="1" fieldPosition="0"/>
    </format>
    <format dxfId="17">
      <pivotArea grandRow="1" outline="0" collapsedLevelsAreSubtotals="1" fieldPosition="0"/>
    </format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0" type="button" dataOnly="0" labelOnly="1" outline="0" axis="axisRow" fieldPosition="0"/>
    </format>
    <format dxfId="11">
      <pivotArea dataOnly="0" labelOnly="1" fieldPosition="0">
        <references count="1">
          <reference field="0" count="0"/>
        </references>
      </pivotArea>
    </format>
    <format dxfId="10">
      <pivotArea dataOnly="0" labelOnly="1" grandRow="1" outline="0" fieldPosition="0"/>
    </format>
    <format dxfId="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D04484-77F9-41EE-A6BC-B61241B28F36}" name="tbl_Profitability_Analysis3" displayName="tbl_Profitability_Analysis3" ref="D1:D11" totalsRowShown="0" headerRowDxfId="2" dataDxfId="1">
  <tableColumns count="1">
    <tableColumn id="1" xr3:uid="{9EB47E0D-AEA5-4C87-B033-203A1BEE4398}" name="YoY Growth %" dataDxfId="0">
      <calculatedColumnFormula>(B2-B1)/B1</calculatedColumnFormula>
    </tableColumn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43B094-C89B-4091-8EB0-80352736E5FD}" name="tbl_Profitability_Analysis" displayName="tbl_Profitability_Analysis" ref="L9:L19" totalsRowShown="0" headerRowDxfId="15" dataDxfId="29">
  <tableColumns count="1">
    <tableColumn id="1" xr3:uid="{51D5D460-CE0A-49F2-B171-B3E92A12CE85}" name="YoY Growth %" dataDxfId="16">
      <calculatedColumnFormula>(J10-J9)/J9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B4BD3-8AB8-419B-9E03-0F4056723E90}">
  <sheetPr codeName="Sheet1"/>
  <dimension ref="A1:AA33"/>
  <sheetViews>
    <sheetView showGridLines="0" zoomScale="99" zoomScaleNormal="99" workbookViewId="0">
      <selection activeCell="Z35" sqref="Z35"/>
    </sheetView>
  </sheetViews>
  <sheetFormatPr defaultColWidth="8.81640625" defaultRowHeight="14.5" x14ac:dyDescent="0.35"/>
  <cols>
    <col min="1" max="1" width="8.6328125" style="4" customWidth="1"/>
    <col min="2" max="25" width="8.81640625" style="4"/>
    <col min="26" max="27" width="8.81640625" style="3"/>
    <col min="28" max="16384" width="8.81640625" style="4"/>
  </cols>
  <sheetData>
    <row r="1" spans="1:25" ht="17" customHeight="1" x14ac:dyDescent="0.35">
      <c r="A1" s="1"/>
      <c r="B1" s="2" t="s">
        <v>40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/>
      <c r="P1" s="3"/>
      <c r="Q1" s="3"/>
      <c r="R1" s="3"/>
      <c r="S1" s="3"/>
      <c r="T1" s="3"/>
      <c r="U1" s="3"/>
      <c r="V1" s="3"/>
      <c r="W1" s="3"/>
      <c r="X1" s="3"/>
      <c r="Y1" s="3"/>
    </row>
    <row r="2" spans="1:25" ht="14.5" customHeight="1" x14ac:dyDescent="0.35">
      <c r="A2" s="1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3"/>
      <c r="P2" s="3"/>
      <c r="Q2" s="3"/>
      <c r="R2" s="3"/>
      <c r="S2" s="3"/>
      <c r="T2" s="3"/>
      <c r="U2" s="3"/>
      <c r="V2" s="3"/>
      <c r="W2" s="3"/>
      <c r="X2" s="3"/>
      <c r="Y2" s="3"/>
    </row>
    <row r="3" spans="1:25" x14ac:dyDescent="0.35">
      <c r="A3" s="1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3"/>
      <c r="P3" s="3"/>
      <c r="Q3" s="3"/>
      <c r="R3" s="3"/>
      <c r="S3" s="3"/>
      <c r="T3" s="3"/>
      <c r="U3" s="3"/>
      <c r="V3" s="3"/>
      <c r="W3" s="3"/>
      <c r="X3" s="3"/>
      <c r="Y3" s="3"/>
    </row>
    <row r="4" spans="1:25" x14ac:dyDescent="0.35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3"/>
      <c r="P4" s="3"/>
      <c r="Q4" s="3"/>
      <c r="R4" s="3"/>
      <c r="S4" s="3"/>
      <c r="T4" s="3"/>
      <c r="U4" s="3"/>
      <c r="V4" s="3"/>
      <c r="W4" s="3"/>
      <c r="X4" s="3"/>
      <c r="Y4" s="3"/>
    </row>
    <row r="5" spans="1:25" x14ac:dyDescent="0.3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3"/>
      <c r="P5" s="3"/>
      <c r="Q5" s="3"/>
      <c r="R5" s="3"/>
      <c r="S5" s="3"/>
      <c r="T5" s="3"/>
      <c r="U5" s="3"/>
      <c r="V5" s="3"/>
      <c r="W5" s="3"/>
      <c r="X5" s="3"/>
      <c r="Y5" s="3"/>
    </row>
    <row r="6" spans="1:25" x14ac:dyDescent="0.35">
      <c r="A6" s="1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3"/>
      <c r="P6" s="3"/>
      <c r="Q6" s="3"/>
      <c r="R6" s="3"/>
      <c r="S6" s="3"/>
      <c r="T6" s="3"/>
      <c r="U6" s="3"/>
      <c r="V6" s="3"/>
      <c r="W6" s="3"/>
      <c r="X6" s="3"/>
      <c r="Y6" s="3"/>
    </row>
    <row r="7" spans="1:25" x14ac:dyDescent="0.35">
      <c r="A7" s="1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pans="1:25" x14ac:dyDescent="0.35">
      <c r="A8" s="1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3"/>
      <c r="P8" s="3"/>
      <c r="Q8" s="3"/>
      <c r="R8" s="3"/>
      <c r="S8" s="3"/>
      <c r="T8" s="3"/>
      <c r="U8" s="3"/>
      <c r="V8" s="3"/>
      <c r="W8" s="3"/>
      <c r="X8" s="3"/>
      <c r="Y8" s="3"/>
    </row>
    <row r="9" spans="1:25" x14ac:dyDescent="0.35">
      <c r="A9" s="1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3"/>
      <c r="P9" s="3"/>
      <c r="Q9" s="3"/>
      <c r="R9" s="3"/>
      <c r="S9" s="3"/>
      <c r="T9" s="3"/>
      <c r="U9" s="3"/>
      <c r="V9" s="3"/>
      <c r="W9" s="3"/>
      <c r="X9" s="3"/>
      <c r="Y9" s="3"/>
    </row>
    <row r="10" spans="1:25" x14ac:dyDescent="0.35">
      <c r="A10" s="1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</row>
    <row r="11" spans="1:25" x14ac:dyDescent="0.35">
      <c r="A11" s="1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</row>
    <row r="12" spans="1:25" x14ac:dyDescent="0.35">
      <c r="A12" s="1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</row>
    <row r="13" spans="1:25" x14ac:dyDescent="0.35">
      <c r="A13" s="1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x14ac:dyDescent="0.35">
      <c r="A14" s="1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</row>
    <row r="15" spans="1:25" x14ac:dyDescent="0.35">
      <c r="A15" s="1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x14ac:dyDescent="0.35">
      <c r="A16" s="1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25" x14ac:dyDescent="0.35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1:25" x14ac:dyDescent="0.3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x14ac:dyDescent="0.3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x14ac:dyDescent="0.3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x14ac:dyDescent="0.3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</row>
    <row r="22" spans="1:25" x14ac:dyDescent="0.3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</row>
    <row r="23" spans="1:25" x14ac:dyDescent="0.3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</row>
    <row r="24" spans="1:25" x14ac:dyDescent="0.3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</row>
    <row r="25" spans="1:25" x14ac:dyDescent="0.3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</row>
    <row r="26" spans="1:25" x14ac:dyDescent="0.3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</row>
    <row r="27" spans="1:25" x14ac:dyDescent="0.3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</row>
    <row r="28" spans="1:25" x14ac:dyDescent="0.3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</row>
    <row r="29" spans="1:25" x14ac:dyDescent="0.3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</row>
    <row r="30" spans="1:25" x14ac:dyDescent="0.3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</row>
    <row r="31" spans="1:25" x14ac:dyDescent="0.3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</row>
    <row r="32" spans="1:25" s="3" customFormat="1" x14ac:dyDescent="0.3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="3" customFormat="1" x14ac:dyDescent="0.35"/>
  </sheetData>
  <sheetProtection sheet="1" objects="1" scenarios="1" sort="0" autoFilter="0"/>
  <mergeCells count="1">
    <mergeCell ref="B1:N3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autoPageBreaks="0"/>
  </sheetPr>
  <dimension ref="A1:X113"/>
  <sheetViews>
    <sheetView showGridLines="0" zoomScaleNormal="100" workbookViewId="0">
      <selection activeCell="S9" sqref="S9"/>
    </sheetView>
  </sheetViews>
  <sheetFormatPr defaultColWidth="8.90625" defaultRowHeight="15.5" customHeight="1" x14ac:dyDescent="0.35"/>
  <cols>
    <col min="1" max="1" width="0.54296875" style="16" customWidth="1"/>
    <col min="2" max="2" width="15.08984375" style="16" customWidth="1"/>
    <col min="3" max="3" width="0.54296875" style="16" customWidth="1"/>
    <col min="4" max="4" width="2.6328125" style="16" customWidth="1"/>
    <col min="5" max="8" width="8.90625" style="16"/>
    <col min="9" max="9" width="3.1796875" style="16" customWidth="1"/>
    <col min="10" max="13" width="8.90625" style="16"/>
    <col min="14" max="14" width="3.1796875" style="16" customWidth="1"/>
    <col min="15" max="15" width="8.90625" style="16"/>
    <col min="16" max="16" width="9" style="16" customWidth="1"/>
    <col min="17" max="18" width="8.90625" style="16"/>
    <col min="19" max="19" width="9.54296875" style="16" customWidth="1"/>
    <col min="20" max="16384" width="8.90625" style="16"/>
  </cols>
  <sheetData>
    <row r="1" spans="1:24" ht="15.5" customHeight="1" x14ac:dyDescent="0.35">
      <c r="A1" s="67"/>
      <c r="B1" s="67"/>
      <c r="C1" s="67"/>
    </row>
    <row r="2" spans="1:24" ht="15.5" customHeight="1" x14ac:dyDescent="0.35">
      <c r="A2" s="67"/>
      <c r="B2" s="67"/>
      <c r="C2" s="67"/>
    </row>
    <row r="3" spans="1:24" ht="15.5" customHeight="1" x14ac:dyDescent="0.35">
      <c r="A3" s="67"/>
      <c r="B3" s="67"/>
      <c r="C3" s="67"/>
    </row>
    <row r="4" spans="1:24" ht="15.5" customHeight="1" x14ac:dyDescent="0.45">
      <c r="A4" s="67"/>
      <c r="B4" s="67"/>
      <c r="C4" s="67"/>
      <c r="D4" s="17"/>
      <c r="E4" s="17"/>
    </row>
    <row r="5" spans="1:24" ht="15.5" customHeight="1" x14ac:dyDescent="0.45">
      <c r="A5" s="67"/>
      <c r="B5" s="67"/>
      <c r="C5" s="67"/>
      <c r="D5" s="17"/>
      <c r="E5" s="17"/>
      <c r="F5" s="17"/>
    </row>
    <row r="6" spans="1:24" ht="15.5" customHeight="1" x14ac:dyDescent="0.35">
      <c r="A6" s="67"/>
      <c r="B6" s="148"/>
      <c r="C6" s="67"/>
      <c r="K6" s="18"/>
      <c r="L6" s="18"/>
      <c r="M6" s="18"/>
      <c r="N6" s="18"/>
      <c r="O6" s="18"/>
      <c r="P6" s="18"/>
      <c r="Q6" s="18"/>
      <c r="R6" s="19"/>
      <c r="S6" s="19"/>
      <c r="T6" s="19"/>
      <c r="U6" s="19"/>
      <c r="V6" s="19"/>
      <c r="W6" s="19"/>
      <c r="X6" s="19"/>
    </row>
    <row r="7" spans="1:24" ht="15.5" customHeight="1" x14ac:dyDescent="0.35">
      <c r="A7" s="67"/>
      <c r="B7" s="148"/>
      <c r="C7" s="68"/>
    </row>
    <row r="8" spans="1:24" s="20" customFormat="1" ht="15.5" customHeight="1" x14ac:dyDescent="0.35">
      <c r="A8" s="68"/>
      <c r="B8" s="68"/>
      <c r="C8" s="68"/>
    </row>
    <row r="9" spans="1:24" s="20" customFormat="1" ht="15.5" customHeight="1" x14ac:dyDescent="0.35">
      <c r="A9" s="68"/>
      <c r="B9" s="68"/>
      <c r="C9" s="68"/>
    </row>
    <row r="10" spans="1:24" s="20" customFormat="1" ht="15.5" customHeight="1" x14ac:dyDescent="0.35">
      <c r="A10" s="68"/>
      <c r="B10" s="68"/>
      <c r="C10" s="68"/>
    </row>
    <row r="11" spans="1:24" s="20" customFormat="1" ht="15.5" customHeight="1" x14ac:dyDescent="0.35">
      <c r="A11" s="68"/>
      <c r="B11" s="68"/>
      <c r="C11" s="68"/>
    </row>
    <row r="12" spans="1:24" s="20" customFormat="1" ht="15.5" customHeight="1" x14ac:dyDescent="0.35">
      <c r="A12" s="68"/>
      <c r="B12" s="68"/>
      <c r="C12" s="68"/>
    </row>
    <row r="13" spans="1:24" s="20" customFormat="1" ht="15.5" customHeight="1" x14ac:dyDescent="0.35">
      <c r="A13" s="68"/>
      <c r="B13" s="68"/>
      <c r="C13" s="68"/>
    </row>
    <row r="14" spans="1:24" s="20" customFormat="1" ht="15.5" customHeight="1" x14ac:dyDescent="0.35">
      <c r="A14" s="68"/>
      <c r="B14" s="68"/>
      <c r="C14" s="68"/>
    </row>
    <row r="15" spans="1:24" s="20" customFormat="1" ht="12.5" customHeight="1" x14ac:dyDescent="0.35">
      <c r="A15" s="68"/>
      <c r="B15" s="68"/>
      <c r="C15" s="68"/>
    </row>
    <row r="16" spans="1:24" s="20" customFormat="1" ht="15.5" customHeight="1" x14ac:dyDescent="0.35">
      <c r="A16" s="68"/>
      <c r="B16" s="68"/>
      <c r="C16" s="68"/>
    </row>
    <row r="17" spans="1:8" s="20" customFormat="1" ht="15.5" customHeight="1" x14ac:dyDescent="0.35">
      <c r="A17" s="68"/>
      <c r="B17" s="68"/>
      <c r="C17" s="68"/>
    </row>
    <row r="18" spans="1:8" s="20" customFormat="1" ht="15.5" customHeight="1" x14ac:dyDescent="0.35">
      <c r="A18" s="68"/>
      <c r="B18" s="68"/>
      <c r="C18" s="68"/>
    </row>
    <row r="19" spans="1:8" s="20" customFormat="1" ht="15.5" customHeight="1" x14ac:dyDescent="0.35">
      <c r="A19" s="68"/>
      <c r="B19" s="150"/>
      <c r="C19" s="68"/>
    </row>
    <row r="20" spans="1:8" ht="15.5" customHeight="1" x14ac:dyDescent="0.35">
      <c r="A20" s="67"/>
      <c r="B20" s="150"/>
      <c r="C20" s="67"/>
    </row>
    <row r="21" spans="1:8" ht="15.5" customHeight="1" x14ac:dyDescent="0.35">
      <c r="A21" s="67"/>
      <c r="B21" s="150"/>
      <c r="C21" s="67"/>
    </row>
    <row r="22" spans="1:8" ht="15.5" customHeight="1" x14ac:dyDescent="0.35">
      <c r="A22" s="67"/>
      <c r="B22" s="146" t="s">
        <v>52</v>
      </c>
      <c r="C22" s="67"/>
    </row>
    <row r="23" spans="1:8" ht="15.5" customHeight="1" x14ac:dyDescent="0.35">
      <c r="A23" s="67"/>
      <c r="B23" s="146"/>
      <c r="C23" s="69"/>
    </row>
    <row r="24" spans="1:8" ht="15.5" customHeight="1" x14ac:dyDescent="0.35">
      <c r="A24" s="67"/>
      <c r="B24" s="146"/>
      <c r="C24" s="69"/>
    </row>
    <row r="25" spans="1:8" ht="15.5" customHeight="1" x14ac:dyDescent="0.35">
      <c r="A25" s="67"/>
      <c r="B25" s="146"/>
      <c r="C25" s="69"/>
    </row>
    <row r="26" spans="1:8" ht="15.5" customHeight="1" x14ac:dyDescent="0.35">
      <c r="A26" s="67"/>
      <c r="B26" s="146" t="s">
        <v>53</v>
      </c>
      <c r="C26" s="69"/>
    </row>
    <row r="27" spans="1:8" ht="15.5" customHeight="1" x14ac:dyDescent="0.35">
      <c r="A27" s="67"/>
      <c r="B27" s="151"/>
      <c r="C27" s="69"/>
    </row>
    <row r="28" spans="1:8" ht="15.5" customHeight="1" x14ac:dyDescent="0.35">
      <c r="A28" s="67"/>
      <c r="B28" s="147" t="s">
        <v>54</v>
      </c>
      <c r="C28" s="69"/>
    </row>
    <row r="29" spans="1:8" ht="15.5" customHeight="1" x14ac:dyDescent="0.35">
      <c r="A29" s="67"/>
      <c r="B29" s="147"/>
      <c r="C29" s="69"/>
      <c r="H29" s="21"/>
    </row>
    <row r="30" spans="1:8" ht="15.5" customHeight="1" x14ac:dyDescent="0.35">
      <c r="A30" s="67"/>
      <c r="B30" s="149" t="s">
        <v>55</v>
      </c>
      <c r="C30" s="69"/>
    </row>
    <row r="31" spans="1:8" ht="15.5" customHeight="1" x14ac:dyDescent="0.35">
      <c r="A31" s="67"/>
      <c r="B31" s="67"/>
      <c r="C31" s="69"/>
    </row>
    <row r="32" spans="1:8" ht="15.5" customHeight="1" x14ac:dyDescent="0.35">
      <c r="A32" s="67"/>
      <c r="B32" s="67"/>
      <c r="C32" s="67"/>
    </row>
    <row r="33" spans="1:3" ht="15.5" customHeight="1" x14ac:dyDescent="0.35">
      <c r="A33" s="67"/>
      <c r="B33" s="67"/>
      <c r="C33" s="67"/>
    </row>
    <row r="34" spans="1:3" ht="15.5" customHeight="1" x14ac:dyDescent="0.35">
      <c r="A34" s="67"/>
      <c r="B34" s="67"/>
      <c r="C34" s="67"/>
    </row>
    <row r="68" ht="19" customHeight="1" x14ac:dyDescent="0.35"/>
    <row r="69" ht="19" customHeight="1" x14ac:dyDescent="0.35"/>
    <row r="70" ht="19" customHeight="1" x14ac:dyDescent="0.35"/>
    <row r="71" ht="19" customHeight="1" x14ac:dyDescent="0.35"/>
    <row r="72" ht="19" customHeight="1" x14ac:dyDescent="0.35"/>
    <row r="73" ht="19" customHeight="1" x14ac:dyDescent="0.35"/>
    <row r="74" ht="19" customHeight="1" x14ac:dyDescent="0.35"/>
    <row r="75" ht="19" customHeight="1" x14ac:dyDescent="0.35"/>
    <row r="76" ht="19" customHeight="1" x14ac:dyDescent="0.35"/>
    <row r="77" ht="19" customHeight="1" x14ac:dyDescent="0.35"/>
    <row r="108" spans="16:19" ht="15.5" customHeight="1" x14ac:dyDescent="0.35">
      <c r="P108" s="22"/>
      <c r="Q108" s="23"/>
      <c r="R108" s="23"/>
      <c r="S108" s="22"/>
    </row>
    <row r="109" spans="16:19" ht="15.5" customHeight="1" x14ac:dyDescent="0.35">
      <c r="P109" s="22"/>
      <c r="Q109" s="23"/>
      <c r="R109" s="23"/>
      <c r="S109" s="22"/>
    </row>
    <row r="110" spans="16:19" ht="15.5" customHeight="1" x14ac:dyDescent="0.35">
      <c r="P110" s="22"/>
      <c r="Q110" s="22"/>
      <c r="R110" s="22"/>
      <c r="S110" s="22"/>
    </row>
    <row r="111" spans="16:19" ht="15.5" customHeight="1" x14ac:dyDescent="0.35">
      <c r="P111" s="22"/>
      <c r="Q111" s="22"/>
      <c r="R111" s="22"/>
      <c r="S111" s="22"/>
    </row>
    <row r="112" spans="16:19" ht="15.5" customHeight="1" x14ac:dyDescent="0.35">
      <c r="P112" s="22"/>
      <c r="Q112" s="22"/>
      <c r="R112" s="22"/>
      <c r="S112" s="22"/>
    </row>
    <row r="113" spans="16:19" ht="15.5" customHeight="1" x14ac:dyDescent="0.35">
      <c r="P113" s="22"/>
      <c r="Q113" s="22"/>
      <c r="R113" s="22"/>
      <c r="S113" s="22"/>
    </row>
  </sheetData>
  <sheetProtection sort="0" autoFilter="0"/>
  <mergeCells count="4">
    <mergeCell ref="B28:B29"/>
    <mergeCell ref="B22:B25"/>
    <mergeCell ref="B26:B27"/>
    <mergeCell ref="Q108:R109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253CD-3688-48F5-977A-B1EB403D28C9}">
  <sheetPr codeName="Sheet3"/>
  <dimension ref="A1:AA37"/>
  <sheetViews>
    <sheetView showGridLines="0" zoomScaleNormal="100" workbookViewId="0">
      <selection activeCell="I10" sqref="I10:L23"/>
    </sheetView>
  </sheetViews>
  <sheetFormatPr defaultColWidth="8.90625" defaultRowHeight="14.5" x14ac:dyDescent="0.35"/>
  <cols>
    <col min="1" max="1" width="8.90625" style="24"/>
    <col min="2" max="8" width="8.90625" style="24" customWidth="1"/>
    <col min="9" max="12" width="17.6328125" style="24" customWidth="1"/>
    <col min="13" max="19" width="8.90625" style="24"/>
    <col min="20" max="20" width="13.453125" style="24" bestFit="1" customWidth="1"/>
    <col min="21" max="21" width="12.08984375" style="24" bestFit="1" customWidth="1"/>
    <col min="22" max="22" width="13.6328125" style="24" bestFit="1" customWidth="1"/>
    <col min="23" max="23" width="17" style="24" bestFit="1" customWidth="1"/>
    <col min="24" max="16384" width="8.90625" style="24"/>
  </cols>
  <sheetData>
    <row r="1" spans="1:27" ht="14.5" customHeight="1" x14ac:dyDescent="0.35"/>
    <row r="2" spans="1:27" ht="14.5" customHeight="1" x14ac:dyDescent="0.3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</row>
    <row r="3" spans="1:27" ht="18.5" x14ac:dyDescent="0.35">
      <c r="A3" s="26"/>
      <c r="B3" s="27" t="s">
        <v>10</v>
      </c>
      <c r="C3" s="27"/>
      <c r="D3" s="27"/>
      <c r="E3" s="27"/>
      <c r="F3" s="27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</row>
    <row r="4" spans="1:27" ht="16.5" hidden="1" customHeight="1" x14ac:dyDescent="0.35">
      <c r="A4" s="26"/>
      <c r="B4" s="28" t="s">
        <v>41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5"/>
      <c r="T4" s="25"/>
      <c r="U4" s="25"/>
      <c r="V4" s="25"/>
    </row>
    <row r="5" spans="1:27" ht="10.5" customHeight="1" x14ac:dyDescent="0.35">
      <c r="A5" s="26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5"/>
      <c r="T5" s="25"/>
      <c r="U5" s="25"/>
      <c r="V5" s="25"/>
    </row>
    <row r="6" spans="1:27" ht="14.5" customHeight="1" x14ac:dyDescent="0.35">
      <c r="A6" s="26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5"/>
      <c r="T6" s="25"/>
      <c r="U6" s="25"/>
      <c r="V6" s="25"/>
    </row>
    <row r="7" spans="1:27" ht="14.5" customHeight="1" x14ac:dyDescent="0.35">
      <c r="A7" s="26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5"/>
      <c r="T7" s="25"/>
      <c r="U7" s="25"/>
      <c r="V7" s="25"/>
    </row>
    <row r="8" spans="1:27" ht="14.5" customHeight="1" x14ac:dyDescent="0.35">
      <c r="A8" s="26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5"/>
      <c r="T8" s="25"/>
      <c r="U8" s="25"/>
      <c r="V8" s="25"/>
    </row>
    <row r="9" spans="1:27" ht="14.5" customHeight="1" x14ac:dyDescent="0.35">
      <c r="A9" s="26"/>
      <c r="B9" s="30"/>
      <c r="C9" s="30"/>
      <c r="D9" s="30"/>
      <c r="E9" s="30"/>
      <c r="F9" s="30"/>
      <c r="G9" s="30"/>
      <c r="H9" s="30"/>
      <c r="I9" s="30"/>
      <c r="J9" s="30"/>
      <c r="K9" s="29"/>
      <c r="L9" s="29"/>
      <c r="M9" s="25"/>
      <c r="N9" s="25"/>
      <c r="O9" s="25"/>
      <c r="P9" s="25"/>
      <c r="Q9" s="25"/>
      <c r="R9" s="25"/>
      <c r="S9" s="25"/>
      <c r="T9" s="25"/>
      <c r="U9" s="25"/>
      <c r="V9" s="25"/>
    </row>
    <row r="10" spans="1:27" ht="17" customHeight="1" x14ac:dyDescent="0.35">
      <c r="A10" s="26"/>
      <c r="B10" s="25"/>
      <c r="C10" s="25"/>
      <c r="D10" s="25"/>
      <c r="E10" s="25"/>
      <c r="F10" s="25"/>
      <c r="G10" s="25"/>
      <c r="H10" s="25"/>
      <c r="I10" s="116" t="s">
        <v>7</v>
      </c>
      <c r="J10" s="116" t="s">
        <v>2</v>
      </c>
      <c r="K10" s="116" t="s">
        <v>1</v>
      </c>
      <c r="L10" s="116" t="s">
        <v>8</v>
      </c>
      <c r="M10" s="25"/>
      <c r="N10" s="25"/>
      <c r="O10" s="25"/>
      <c r="P10" s="25"/>
      <c r="Q10" s="25"/>
      <c r="R10" s="25"/>
      <c r="S10" s="25"/>
      <c r="T10" s="25"/>
      <c r="U10" s="25"/>
      <c r="V10" s="25"/>
    </row>
    <row r="11" spans="1:27" ht="17" customHeight="1" x14ac:dyDescent="0.35">
      <c r="A11" s="26"/>
      <c r="B11" s="25"/>
      <c r="C11" s="25"/>
      <c r="D11" s="25"/>
      <c r="E11" s="25"/>
      <c r="F11" s="25"/>
      <c r="G11" s="25"/>
      <c r="H11" s="25"/>
      <c r="I11" s="118">
        <v>2015</v>
      </c>
      <c r="J11" s="126">
        <v>50.63</v>
      </c>
      <c r="K11" s="126">
        <v>73294.92</v>
      </c>
      <c r="L11" s="127">
        <f>J11/K11</f>
        <v>6.9077092928131992E-4</v>
      </c>
      <c r="M11" s="25"/>
      <c r="N11" s="25"/>
      <c r="O11" s="25"/>
      <c r="P11" s="25"/>
      <c r="Q11" s="25"/>
      <c r="R11" s="25"/>
      <c r="S11" s="25"/>
      <c r="T11" s="25"/>
      <c r="U11" s="25"/>
      <c r="V11" s="25"/>
    </row>
    <row r="12" spans="1:27" ht="17" customHeight="1" x14ac:dyDescent="0.35">
      <c r="A12" s="26"/>
      <c r="B12" s="25"/>
      <c r="C12" s="25"/>
      <c r="D12" s="25"/>
      <c r="E12" s="25"/>
      <c r="F12" s="25"/>
      <c r="G12" s="25"/>
      <c r="H12" s="25"/>
      <c r="I12" s="118">
        <v>2016</v>
      </c>
      <c r="J12" s="126">
        <v>49.33</v>
      </c>
      <c r="K12" s="126">
        <v>75075.39</v>
      </c>
      <c r="L12" s="127">
        <f t="shared" ref="L12:L20" si="0">J12/K12</f>
        <v>6.5707284371083522E-4</v>
      </c>
      <c r="M12" s="25"/>
      <c r="N12" s="25"/>
      <c r="O12" s="25"/>
      <c r="P12" s="25"/>
      <c r="Q12" s="25"/>
      <c r="R12" s="25"/>
      <c r="S12" s="25"/>
      <c r="T12" s="25"/>
      <c r="U12" s="25"/>
      <c r="V12" s="25"/>
    </row>
    <row r="13" spans="1:27" ht="17" customHeight="1" x14ac:dyDescent="0.35">
      <c r="A13" s="26"/>
      <c r="B13" s="25"/>
      <c r="C13" s="25"/>
      <c r="D13" s="25"/>
      <c r="E13" s="25"/>
      <c r="F13" s="25"/>
      <c r="G13" s="25"/>
      <c r="H13" s="25"/>
      <c r="I13" s="118">
        <v>2017</v>
      </c>
      <c r="J13" s="126">
        <v>50.59</v>
      </c>
      <c r="K13" s="126">
        <v>70669.98</v>
      </c>
      <c r="L13" s="127">
        <f t="shared" si="0"/>
        <v>7.1586266191104068E-4</v>
      </c>
      <c r="M13" s="25"/>
      <c r="N13" s="25"/>
      <c r="O13" s="25"/>
      <c r="P13" s="25"/>
      <c r="Q13" s="25"/>
      <c r="R13" s="25"/>
      <c r="S13" s="25"/>
      <c r="T13" s="25"/>
      <c r="U13" s="25"/>
      <c r="V13" s="25"/>
    </row>
    <row r="14" spans="1:27" ht="17" customHeight="1" x14ac:dyDescent="0.35">
      <c r="A14" s="26"/>
      <c r="B14" s="25"/>
      <c r="C14" s="25"/>
      <c r="D14" s="25"/>
      <c r="E14" s="25"/>
      <c r="F14" s="25"/>
      <c r="G14" s="25"/>
      <c r="H14" s="25"/>
      <c r="I14" s="118">
        <v>2018</v>
      </c>
      <c r="J14" s="126">
        <v>50.18</v>
      </c>
      <c r="K14" s="126">
        <v>69608.87</v>
      </c>
      <c r="L14" s="127">
        <f t="shared" si="0"/>
        <v>7.2088514006907461E-4</v>
      </c>
      <c r="M14" s="25"/>
      <c r="N14" s="25"/>
      <c r="O14" s="25"/>
      <c r="P14" s="25"/>
      <c r="Q14" s="25"/>
      <c r="R14" s="25"/>
      <c r="S14" s="25"/>
      <c r="T14" s="25"/>
      <c r="U14" s="25"/>
      <c r="V14" s="25"/>
    </row>
    <row r="15" spans="1:27" ht="17" customHeight="1" x14ac:dyDescent="0.35">
      <c r="A15" s="26"/>
      <c r="B15" s="25"/>
      <c r="C15" s="25"/>
      <c r="D15" s="25"/>
      <c r="E15" s="25"/>
      <c r="F15" s="25"/>
      <c r="G15" s="25"/>
      <c r="H15" s="25"/>
      <c r="I15" s="118">
        <v>2019</v>
      </c>
      <c r="J15" s="126">
        <v>49.98</v>
      </c>
      <c r="K15" s="126">
        <v>77622.559999999998</v>
      </c>
      <c r="L15" s="127">
        <f t="shared" si="0"/>
        <v>6.4388497364683672E-4</v>
      </c>
      <c r="M15" s="25"/>
      <c r="N15" s="25"/>
      <c r="O15" s="25"/>
      <c r="P15" s="25"/>
      <c r="Q15" s="25"/>
      <c r="R15" s="25"/>
      <c r="S15" s="25"/>
      <c r="T15" s="25"/>
      <c r="U15" s="25"/>
      <c r="V15" s="25"/>
    </row>
    <row r="16" spans="1:27" ht="17" customHeight="1" x14ac:dyDescent="0.35">
      <c r="A16" s="26"/>
      <c r="B16" s="25"/>
      <c r="C16" s="25"/>
      <c r="D16" s="25"/>
      <c r="E16" s="25"/>
      <c r="F16" s="25"/>
      <c r="G16" s="25"/>
      <c r="H16" s="25"/>
      <c r="I16" s="118">
        <v>2020</v>
      </c>
      <c r="J16" s="126">
        <v>50.42</v>
      </c>
      <c r="K16" s="126">
        <v>86759.63</v>
      </c>
      <c r="L16" s="127">
        <f>J16/K16</f>
        <v>5.8114586242472444E-4</v>
      </c>
      <c r="M16" s="25"/>
      <c r="N16" s="25"/>
      <c r="O16" s="25"/>
      <c r="P16" s="25"/>
      <c r="Q16" s="25"/>
      <c r="R16" s="25"/>
      <c r="S16" s="25"/>
      <c r="T16" s="25"/>
      <c r="U16" s="25"/>
      <c r="V16" s="25"/>
    </row>
    <row r="17" spans="1:22" ht="17" customHeight="1" x14ac:dyDescent="0.35">
      <c r="A17" s="26"/>
      <c r="B17" s="25"/>
      <c r="C17" s="25"/>
      <c r="D17" s="25"/>
      <c r="E17" s="25"/>
      <c r="F17" s="25"/>
      <c r="G17" s="25"/>
      <c r="H17" s="25"/>
      <c r="I17" s="118">
        <v>2021</v>
      </c>
      <c r="J17" s="126">
        <v>37.33</v>
      </c>
      <c r="K17" s="126">
        <v>89597.02</v>
      </c>
      <c r="L17" s="127">
        <f t="shared" si="0"/>
        <v>4.166433213961803E-4</v>
      </c>
      <c r="M17" s="25"/>
      <c r="N17" s="25"/>
      <c r="O17" s="25"/>
      <c r="P17" s="25"/>
      <c r="Q17" s="25"/>
      <c r="R17" s="25"/>
      <c r="S17" s="25"/>
      <c r="T17" s="25"/>
      <c r="U17" s="25"/>
      <c r="V17" s="25"/>
    </row>
    <row r="18" spans="1:22" ht="17" customHeight="1" x14ac:dyDescent="0.35">
      <c r="A18" s="26"/>
      <c r="B18" s="25"/>
      <c r="C18" s="25"/>
      <c r="D18" s="25"/>
      <c r="E18" s="25"/>
      <c r="F18" s="25"/>
      <c r="G18" s="25"/>
      <c r="H18" s="25"/>
      <c r="I18" s="118">
        <v>2022</v>
      </c>
      <c r="J18" s="126">
        <v>42.6</v>
      </c>
      <c r="K18" s="126">
        <v>93226.58</v>
      </c>
      <c r="L18" s="127">
        <f t="shared" si="0"/>
        <v>4.5695122571266691E-4</v>
      </c>
      <c r="M18" s="25"/>
      <c r="N18" s="25"/>
      <c r="O18" s="25"/>
      <c r="P18" s="25"/>
      <c r="Q18" s="25"/>
      <c r="R18" s="25"/>
      <c r="S18" s="25"/>
      <c r="T18" s="25"/>
      <c r="U18" s="25"/>
      <c r="V18" s="25"/>
    </row>
    <row r="19" spans="1:22" ht="17" customHeight="1" x14ac:dyDescent="0.35">
      <c r="A19" s="26"/>
      <c r="B19" s="25"/>
      <c r="C19" s="25"/>
      <c r="D19" s="25"/>
      <c r="E19" s="25"/>
      <c r="F19" s="25"/>
      <c r="G19" s="25"/>
      <c r="H19" s="25"/>
      <c r="I19" s="118">
        <v>2023</v>
      </c>
      <c r="J19" s="126">
        <v>50.31</v>
      </c>
      <c r="K19" s="126">
        <v>95118.26</v>
      </c>
      <c r="L19" s="127">
        <f>J19/K19</f>
        <v>5.2892052482877636E-4</v>
      </c>
      <c r="M19" s="25"/>
      <c r="N19" s="25"/>
      <c r="O19" s="25"/>
      <c r="P19" s="25"/>
      <c r="Q19" s="25"/>
      <c r="R19" s="25"/>
      <c r="S19" s="25"/>
      <c r="T19" s="25"/>
      <c r="U19" s="25"/>
      <c r="V19" s="25"/>
    </row>
    <row r="20" spans="1:22" ht="17" customHeight="1" x14ac:dyDescent="0.35">
      <c r="A20" s="26"/>
      <c r="B20" s="25"/>
      <c r="C20" s="25"/>
      <c r="D20" s="25"/>
      <c r="E20" s="25"/>
      <c r="F20" s="25"/>
      <c r="G20" s="25"/>
      <c r="H20" s="25"/>
      <c r="I20" s="118">
        <v>2024</v>
      </c>
      <c r="J20" s="126">
        <v>150.12</v>
      </c>
      <c r="K20" s="126">
        <v>91838.23</v>
      </c>
      <c r="L20" s="127">
        <f t="shared" si="0"/>
        <v>1.6346133848616205E-3</v>
      </c>
      <c r="M20" s="25"/>
      <c r="N20" s="25"/>
      <c r="O20" s="25"/>
      <c r="P20" s="25"/>
      <c r="Q20" s="25"/>
      <c r="R20" s="25"/>
      <c r="S20" s="25"/>
      <c r="T20" s="25"/>
      <c r="U20" s="25"/>
      <c r="V20" s="25"/>
    </row>
    <row r="21" spans="1:22" ht="17" customHeight="1" x14ac:dyDescent="0.35">
      <c r="A21" s="26"/>
      <c r="B21" s="31"/>
      <c r="C21" s="25"/>
      <c r="D21" s="25"/>
      <c r="E21" s="25"/>
      <c r="F21" s="25"/>
      <c r="G21" s="31"/>
      <c r="H21" s="25"/>
      <c r="I21" s="29"/>
      <c r="J21" s="29"/>
      <c r="K21" s="29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</row>
    <row r="22" spans="1:22" ht="17" customHeight="1" x14ac:dyDescent="0.35">
      <c r="A22" s="26"/>
      <c r="B22" s="25"/>
      <c r="C22" s="25"/>
      <c r="D22" s="25"/>
      <c r="E22" s="25"/>
      <c r="F22" s="25"/>
      <c r="G22" s="25"/>
      <c r="H22" s="25"/>
      <c r="I22" s="128" t="s">
        <v>9</v>
      </c>
      <c r="J22" s="129">
        <f>AVERAGE(L11:L20)</f>
        <v>7.0467508678430759E-4</v>
      </c>
      <c r="K22" s="129"/>
      <c r="L22" s="129"/>
      <c r="M22" s="25"/>
      <c r="N22" s="25"/>
      <c r="O22" s="25"/>
      <c r="P22" s="25"/>
      <c r="Q22" s="25"/>
      <c r="R22" s="25"/>
      <c r="S22" s="25"/>
      <c r="T22" s="25"/>
      <c r="U22" s="25"/>
      <c r="V22" s="25"/>
    </row>
    <row r="23" spans="1:22" ht="17" customHeight="1" x14ac:dyDescent="0.35">
      <c r="A23" s="26"/>
      <c r="B23" s="25"/>
      <c r="C23" s="25"/>
      <c r="D23" s="25"/>
      <c r="E23" s="25"/>
      <c r="F23" s="25"/>
      <c r="G23" s="25"/>
      <c r="H23" s="25"/>
      <c r="I23" s="128" t="s">
        <v>16</v>
      </c>
      <c r="J23" s="129">
        <f>_xlfn.STDEV.P(L11:L20)</f>
        <v>3.2585371678535516E-4</v>
      </c>
      <c r="K23" s="129"/>
      <c r="L23" s="129"/>
      <c r="M23" s="25"/>
      <c r="N23" s="25"/>
      <c r="O23" s="25"/>
      <c r="P23" s="25"/>
      <c r="Q23" s="25"/>
      <c r="R23" s="25"/>
      <c r="S23" s="25"/>
      <c r="T23" s="25"/>
      <c r="U23" s="25"/>
      <c r="V23" s="25"/>
    </row>
    <row r="24" spans="1:22" ht="14.5" customHeight="1" x14ac:dyDescent="0.35">
      <c r="A24" s="26"/>
      <c r="B24" s="31"/>
      <c r="C24" s="25"/>
      <c r="D24" s="25"/>
      <c r="E24" s="25"/>
      <c r="F24" s="25"/>
      <c r="G24" s="31"/>
      <c r="H24" s="29"/>
      <c r="I24" s="29"/>
      <c r="J24" s="29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</row>
    <row r="25" spans="1:22" ht="14.5" customHeight="1" x14ac:dyDescent="0.35">
      <c r="A25" s="26"/>
      <c r="B25" s="31"/>
      <c r="C25" s="25"/>
      <c r="D25" s="25"/>
      <c r="E25" s="25"/>
      <c r="F25" s="25"/>
      <c r="G25" s="31"/>
      <c r="H25" s="29"/>
      <c r="I25" s="29"/>
      <c r="J25" s="29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</row>
    <row r="26" spans="1:22" ht="18.5" customHeight="1" x14ac:dyDescent="0.35">
      <c r="A26" s="26"/>
      <c r="B26" s="32" t="s">
        <v>6</v>
      </c>
      <c r="C26" s="33"/>
      <c r="D26" s="33"/>
      <c r="E26" s="33"/>
      <c r="F26" s="31"/>
      <c r="G26" s="31"/>
      <c r="H26" s="29"/>
      <c r="I26" s="29"/>
      <c r="J26" s="29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</row>
    <row r="27" spans="1:22" ht="12" customHeight="1" x14ac:dyDescent="0.35">
      <c r="A27" s="26"/>
      <c r="B27" s="28" t="s">
        <v>42</v>
      </c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5"/>
      <c r="T27" s="25"/>
      <c r="U27" s="25"/>
      <c r="V27" s="25"/>
    </row>
    <row r="28" spans="1:22" ht="14.5" customHeight="1" x14ac:dyDescent="0.35">
      <c r="A28" s="26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5"/>
      <c r="T28" s="25"/>
      <c r="U28" s="25"/>
      <c r="V28" s="25"/>
    </row>
    <row r="29" spans="1:22" ht="14.5" customHeight="1" x14ac:dyDescent="0.35">
      <c r="A29" s="26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5"/>
      <c r="T29" s="25"/>
      <c r="U29" s="25"/>
      <c r="V29" s="25"/>
    </row>
    <row r="30" spans="1:22" ht="14.5" customHeight="1" x14ac:dyDescent="0.35">
      <c r="A30" s="26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5"/>
      <c r="T30" s="25"/>
      <c r="U30" s="25"/>
      <c r="V30" s="25"/>
    </row>
    <row r="31" spans="1:22" ht="14.5" customHeight="1" x14ac:dyDescent="0.35">
      <c r="A31" s="25"/>
      <c r="B31" s="31"/>
      <c r="C31" s="31"/>
      <c r="D31" s="31"/>
      <c r="E31" s="31"/>
      <c r="F31" s="31"/>
      <c r="G31" s="31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</row>
    <row r="32" spans="1:22" ht="14.5" customHeight="1" x14ac:dyDescent="0.35">
      <c r="A32" s="25"/>
      <c r="B32" s="31"/>
      <c r="C32" s="31"/>
      <c r="D32" s="31"/>
      <c r="E32" s="31"/>
      <c r="F32" s="31"/>
      <c r="G32" s="31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</row>
    <row r="33" spans="2:22" x14ac:dyDescent="0.35">
      <c r="B33" s="34"/>
      <c r="C33" s="34"/>
      <c r="D33" s="34"/>
      <c r="E33" s="34"/>
      <c r="F33" s="34"/>
      <c r="G33" s="34"/>
      <c r="U33" s="25"/>
      <c r="V33" s="25"/>
    </row>
    <row r="34" spans="2:22" x14ac:dyDescent="0.35">
      <c r="U34" s="25"/>
      <c r="V34" s="25"/>
    </row>
    <row r="35" spans="2:22" x14ac:dyDescent="0.35">
      <c r="K35" s="25"/>
      <c r="U35" s="25"/>
      <c r="V35" s="25"/>
    </row>
    <row r="36" spans="2:22" x14ac:dyDescent="0.35">
      <c r="U36" s="25"/>
      <c r="V36" s="25"/>
    </row>
    <row r="37" spans="2:22" x14ac:dyDescent="0.35">
      <c r="U37" s="25"/>
      <c r="V37" s="25"/>
    </row>
  </sheetData>
  <sheetProtection sort="0" autoFilter="0"/>
  <mergeCells count="6">
    <mergeCell ref="B26:E26"/>
    <mergeCell ref="B27:R30"/>
    <mergeCell ref="B3:F3"/>
    <mergeCell ref="B4:R7"/>
    <mergeCell ref="J22:L22"/>
    <mergeCell ref="J23:L2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E7916-23BC-422D-849D-24D2E5CC28AB}">
  <dimension ref="A1:D15"/>
  <sheetViews>
    <sheetView tabSelected="1" workbookViewId="0">
      <selection activeCell="G15" sqref="G15"/>
    </sheetView>
  </sheetViews>
  <sheetFormatPr defaultRowHeight="14.5" x14ac:dyDescent="0.35"/>
  <cols>
    <col min="1" max="4" width="17.6328125" customWidth="1"/>
  </cols>
  <sheetData>
    <row r="1" spans="1:4" ht="17" customHeight="1" x14ac:dyDescent="0.35">
      <c r="A1" s="116" t="s">
        <v>7</v>
      </c>
      <c r="B1" s="116" t="s">
        <v>2</v>
      </c>
      <c r="C1" s="116" t="s">
        <v>0</v>
      </c>
      <c r="D1" s="117" t="s">
        <v>13</v>
      </c>
    </row>
    <row r="2" spans="1:4" ht="17" customHeight="1" x14ac:dyDescent="0.35">
      <c r="A2" s="118">
        <v>2015</v>
      </c>
      <c r="B2" s="119">
        <v>50.63</v>
      </c>
      <c r="C2" s="120">
        <v>0.42820000000000003</v>
      </c>
      <c r="D2" s="121" t="s">
        <v>14</v>
      </c>
    </row>
    <row r="3" spans="1:4" ht="17" customHeight="1" x14ac:dyDescent="0.35">
      <c r="A3" s="118">
        <v>2016</v>
      </c>
      <c r="B3" s="119">
        <v>49.33</v>
      </c>
      <c r="C3" s="120">
        <v>0.41649999999999998</v>
      </c>
      <c r="D3" s="122">
        <f>(B3-B2)/B2</f>
        <v>-2.5676476397392935E-2</v>
      </c>
    </row>
    <row r="4" spans="1:4" ht="17" customHeight="1" x14ac:dyDescent="0.35">
      <c r="A4" s="118">
        <v>2017</v>
      </c>
      <c r="B4" s="119">
        <v>50.59</v>
      </c>
      <c r="C4" s="120">
        <v>0.52390000000000003</v>
      </c>
      <c r="D4" s="122">
        <f>(B4-B3)/B3</f>
        <v>2.5542266369349385E-2</v>
      </c>
    </row>
    <row r="5" spans="1:4" ht="17" customHeight="1" x14ac:dyDescent="0.35">
      <c r="A5" s="118">
        <v>2018</v>
      </c>
      <c r="B5" s="119">
        <v>50.18</v>
      </c>
      <c r="C5" s="120">
        <v>0.44529999999999997</v>
      </c>
      <c r="D5" s="122">
        <f t="shared" ref="D5:D11" si="0">(B5-B4)/B4</f>
        <v>-8.1043684522633663E-3</v>
      </c>
    </row>
    <row r="6" spans="1:4" ht="17" customHeight="1" x14ac:dyDescent="0.35">
      <c r="A6" s="118">
        <v>2019</v>
      </c>
      <c r="B6" s="119">
        <v>49.98</v>
      </c>
      <c r="C6" s="120">
        <v>0.53449999999999998</v>
      </c>
      <c r="D6" s="122">
        <f t="shared" si="0"/>
        <v>-3.9856516540454929E-3</v>
      </c>
    </row>
    <row r="7" spans="1:4" ht="17" customHeight="1" x14ac:dyDescent="0.35">
      <c r="A7" s="118">
        <v>2020</v>
      </c>
      <c r="B7" s="119">
        <v>50.42</v>
      </c>
      <c r="C7" s="120">
        <v>0.57899999999999996</v>
      </c>
      <c r="D7" s="122">
        <f t="shared" si="0"/>
        <v>8.8035214085635232E-3</v>
      </c>
    </row>
    <row r="8" spans="1:4" ht="17" customHeight="1" x14ac:dyDescent="0.35">
      <c r="A8" s="118">
        <v>2021</v>
      </c>
      <c r="B8" s="119">
        <v>37.33</v>
      </c>
      <c r="C8" s="120">
        <v>0.6411</v>
      </c>
      <c r="D8" s="122">
        <f t="shared" si="0"/>
        <v>-0.25961919873066247</v>
      </c>
    </row>
    <row r="9" spans="1:4" ht="17" customHeight="1" x14ac:dyDescent="0.35">
      <c r="A9" s="118">
        <v>2022</v>
      </c>
      <c r="B9" s="119">
        <v>42.6</v>
      </c>
      <c r="C9" s="120">
        <v>0.5948</v>
      </c>
      <c r="D9" s="122">
        <f t="shared" si="0"/>
        <v>0.1411733190463435</v>
      </c>
    </row>
    <row r="10" spans="1:4" ht="17" customHeight="1" x14ac:dyDescent="0.35">
      <c r="A10" s="118">
        <v>2023</v>
      </c>
      <c r="B10" s="119">
        <v>50.31</v>
      </c>
      <c r="C10" s="120">
        <v>0.61309999999999998</v>
      </c>
      <c r="D10" s="122">
        <f t="shared" si="0"/>
        <v>0.18098591549295776</v>
      </c>
    </row>
    <row r="11" spans="1:4" ht="17" customHeight="1" x14ac:dyDescent="0.35">
      <c r="A11" s="118">
        <v>2024</v>
      </c>
      <c r="B11" s="119">
        <v>150.12</v>
      </c>
      <c r="C11" s="120">
        <v>0.39079999999999998</v>
      </c>
      <c r="D11" s="122">
        <f t="shared" si="0"/>
        <v>1.9838998211091234</v>
      </c>
    </row>
    <row r="12" spans="1:4" ht="17" customHeight="1" x14ac:dyDescent="0.35">
      <c r="A12" s="25"/>
      <c r="B12" s="25"/>
      <c r="C12" s="25"/>
      <c r="D12" s="25"/>
    </row>
    <row r="13" spans="1:4" ht="17" customHeight="1" x14ac:dyDescent="0.35">
      <c r="A13" s="116"/>
      <c r="B13" s="116" t="s">
        <v>4</v>
      </c>
      <c r="C13" s="116" t="s">
        <v>15</v>
      </c>
      <c r="D13" s="116" t="s">
        <v>5</v>
      </c>
    </row>
    <row r="14" spans="1:4" ht="17" customHeight="1" x14ac:dyDescent="0.35">
      <c r="A14" s="116" t="s">
        <v>2</v>
      </c>
      <c r="B14" s="123">
        <f>MAX(B2:B11)</f>
        <v>150.12</v>
      </c>
      <c r="C14" s="123">
        <f>MEDIAN(B2:B11)</f>
        <v>50.245000000000005</v>
      </c>
      <c r="D14" s="123">
        <f>MIN(B2:B11)</f>
        <v>37.33</v>
      </c>
    </row>
    <row r="15" spans="1:4" ht="17" customHeight="1" x14ac:dyDescent="0.35">
      <c r="A15" s="116" t="s">
        <v>0</v>
      </c>
      <c r="B15" s="124">
        <f>MAX(C2:C11)</f>
        <v>0.6411</v>
      </c>
      <c r="C15" s="125">
        <f>MEDIAN(C2:C11)</f>
        <v>0.5292</v>
      </c>
      <c r="D15" s="124">
        <f>MIN(C2:C11)</f>
        <v>0.39079999999999998</v>
      </c>
    </row>
  </sheetData>
  <conditionalFormatting sqref="D3:D11">
    <cfRule type="expression" dxfId="4" priority="1">
      <formula>D3&lt;0</formula>
    </cfRule>
    <cfRule type="expression" dxfId="3" priority="2">
      <formula>D3&gt;0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7B25A-FAF7-4493-B611-459ABE01017E}">
  <sheetPr codeName="Sheet4">
    <pageSetUpPr autoPageBreaks="0"/>
  </sheetPr>
  <dimension ref="A2:V32"/>
  <sheetViews>
    <sheetView showGridLines="0" zoomScaleNormal="100" workbookViewId="0">
      <selection activeCell="I9" sqref="I9:L23"/>
    </sheetView>
  </sheetViews>
  <sheetFormatPr defaultColWidth="8.90625" defaultRowHeight="14.5" customHeight="1" x14ac:dyDescent="0.35"/>
  <cols>
    <col min="1" max="8" width="8.90625" style="38" customWidth="1"/>
    <col min="9" max="12" width="17.6328125" style="38" customWidth="1"/>
    <col min="13" max="20" width="8.90625" style="38"/>
    <col min="21" max="22" width="8.90625" style="35" customWidth="1"/>
    <col min="23" max="23" width="8.90625" style="38" customWidth="1"/>
    <col min="24" max="16384" width="8.90625" style="38"/>
  </cols>
  <sheetData>
    <row r="2" spans="1:22" s="35" customFormat="1" ht="14.5" customHeight="1" x14ac:dyDescent="0.35"/>
    <row r="3" spans="1:22" ht="19" customHeight="1" x14ac:dyDescent="0.45">
      <c r="A3" s="36"/>
      <c r="B3" s="37" t="s">
        <v>3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</row>
    <row r="4" spans="1:22" ht="1" customHeight="1" x14ac:dyDescent="0.35">
      <c r="A4" s="36"/>
      <c r="B4" s="28" t="s">
        <v>43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35"/>
      <c r="T4" s="35"/>
    </row>
    <row r="5" spans="1:22" s="40" customFormat="1" ht="14.5" customHeight="1" x14ac:dyDescent="0.35">
      <c r="A5" s="39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30"/>
    </row>
    <row r="6" spans="1:22" s="40" customFormat="1" ht="14.5" customHeight="1" x14ac:dyDescent="0.35">
      <c r="A6" s="39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30"/>
    </row>
    <row r="7" spans="1:22" s="40" customFormat="1" ht="14.5" customHeight="1" x14ac:dyDescent="0.35">
      <c r="A7" s="39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30"/>
    </row>
    <row r="8" spans="1:22" ht="14.5" customHeight="1" x14ac:dyDescent="0.35">
      <c r="A8" s="36"/>
      <c r="B8" s="31"/>
      <c r="C8" s="31"/>
      <c r="D8" s="31"/>
      <c r="E8" s="31"/>
      <c r="F8" s="31"/>
      <c r="G8" s="31"/>
      <c r="H8" s="31"/>
      <c r="I8" s="31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</row>
    <row r="9" spans="1:22" ht="17" customHeight="1" x14ac:dyDescent="0.35">
      <c r="A9" s="36"/>
      <c r="B9" s="31"/>
      <c r="C9" s="35"/>
      <c r="D9" s="35"/>
      <c r="E9" s="35"/>
      <c r="F9" s="35"/>
      <c r="G9" s="35"/>
      <c r="I9" s="116" t="s">
        <v>7</v>
      </c>
      <c r="J9" s="116" t="s">
        <v>2</v>
      </c>
      <c r="K9" s="116" t="s">
        <v>0</v>
      </c>
      <c r="L9" s="117" t="s">
        <v>13</v>
      </c>
      <c r="M9" s="35"/>
      <c r="N9" s="35"/>
      <c r="O9" s="35"/>
      <c r="P9" s="35"/>
      <c r="Q9" s="35"/>
      <c r="R9" s="35"/>
      <c r="S9" s="35"/>
      <c r="T9" s="35"/>
    </row>
    <row r="10" spans="1:22" ht="17" customHeight="1" x14ac:dyDescent="0.35">
      <c r="A10" s="36"/>
      <c r="B10" s="41"/>
      <c r="C10" s="35"/>
      <c r="D10" s="35"/>
      <c r="E10" s="35"/>
      <c r="F10" s="35"/>
      <c r="G10" s="35"/>
      <c r="I10" s="118">
        <v>2015</v>
      </c>
      <c r="J10" s="119">
        <v>50.63</v>
      </c>
      <c r="K10" s="120">
        <v>0.42820000000000003</v>
      </c>
      <c r="L10" s="121" t="s">
        <v>14</v>
      </c>
      <c r="M10" s="35"/>
      <c r="N10" s="35"/>
      <c r="O10" s="35"/>
      <c r="P10" s="35"/>
      <c r="Q10" s="35"/>
      <c r="R10" s="35"/>
      <c r="S10" s="35"/>
      <c r="T10" s="35"/>
    </row>
    <row r="11" spans="1:22" ht="17" customHeight="1" x14ac:dyDescent="0.35">
      <c r="A11" s="36"/>
      <c r="B11" s="25"/>
      <c r="C11" s="35"/>
      <c r="D11" s="35"/>
      <c r="E11" s="35"/>
      <c r="F11" s="35"/>
      <c r="G11" s="35"/>
      <c r="I11" s="118">
        <v>2016</v>
      </c>
      <c r="J11" s="119">
        <v>49.33</v>
      </c>
      <c r="K11" s="120">
        <v>0.41649999999999998</v>
      </c>
      <c r="L11" s="122">
        <f>(J11-J10)/J10</f>
        <v>-2.5676476397392935E-2</v>
      </c>
      <c r="M11" s="35"/>
      <c r="N11" s="35"/>
      <c r="O11" s="35"/>
      <c r="P11" s="35"/>
      <c r="Q11" s="35"/>
      <c r="R11" s="35"/>
      <c r="S11" s="35"/>
      <c r="T11" s="35"/>
    </row>
    <row r="12" spans="1:22" ht="17" customHeight="1" x14ac:dyDescent="0.35">
      <c r="A12" s="36"/>
      <c r="B12" s="25"/>
      <c r="C12" s="35"/>
      <c r="D12" s="35"/>
      <c r="E12" s="35"/>
      <c r="F12" s="35"/>
      <c r="G12" s="35"/>
      <c r="I12" s="118">
        <v>2017</v>
      </c>
      <c r="J12" s="119">
        <v>50.59</v>
      </c>
      <c r="K12" s="120">
        <v>0.52390000000000003</v>
      </c>
      <c r="L12" s="122">
        <f>(J12-J11)/J11</f>
        <v>2.5542266369349385E-2</v>
      </c>
      <c r="M12" s="35"/>
      <c r="N12" s="35"/>
      <c r="O12" s="35"/>
      <c r="P12" s="35"/>
      <c r="Q12" s="35"/>
      <c r="R12" s="35"/>
      <c r="S12" s="35"/>
      <c r="T12" s="35"/>
    </row>
    <row r="13" spans="1:22" ht="17" customHeight="1" x14ac:dyDescent="0.35">
      <c r="A13" s="36"/>
      <c r="B13" s="25"/>
      <c r="C13" s="35"/>
      <c r="D13" s="35"/>
      <c r="E13" s="35"/>
      <c r="F13" s="35"/>
      <c r="G13" s="35"/>
      <c r="I13" s="118">
        <v>2018</v>
      </c>
      <c r="J13" s="119">
        <v>50.18</v>
      </c>
      <c r="K13" s="120">
        <v>0.44529999999999997</v>
      </c>
      <c r="L13" s="122">
        <f t="shared" ref="L13:L19" si="0">(J13-J12)/J12</f>
        <v>-8.1043684522633663E-3</v>
      </c>
      <c r="M13" s="35"/>
      <c r="N13" s="35"/>
      <c r="O13" s="35"/>
      <c r="P13" s="35"/>
      <c r="Q13" s="35"/>
      <c r="R13" s="35"/>
      <c r="S13" s="35"/>
      <c r="T13" s="35"/>
    </row>
    <row r="14" spans="1:22" ht="17" customHeight="1" x14ac:dyDescent="0.35">
      <c r="A14" s="36"/>
      <c r="B14" s="25"/>
      <c r="C14" s="35"/>
      <c r="D14" s="35"/>
      <c r="E14" s="35"/>
      <c r="F14" s="35"/>
      <c r="G14" s="35"/>
      <c r="I14" s="118">
        <v>2019</v>
      </c>
      <c r="J14" s="119">
        <v>49.98</v>
      </c>
      <c r="K14" s="120">
        <v>0.53449999999999998</v>
      </c>
      <c r="L14" s="122">
        <f t="shared" si="0"/>
        <v>-3.9856516540454929E-3</v>
      </c>
      <c r="M14" s="35"/>
      <c r="N14" s="35"/>
      <c r="O14" s="35"/>
      <c r="P14" s="35"/>
      <c r="Q14" s="35"/>
      <c r="R14" s="35"/>
      <c r="S14" s="35"/>
      <c r="T14" s="35"/>
    </row>
    <row r="15" spans="1:22" ht="17" customHeight="1" x14ac:dyDescent="0.35">
      <c r="A15" s="36"/>
      <c r="B15" s="25"/>
      <c r="C15" s="35"/>
      <c r="D15" s="35"/>
      <c r="E15" s="35"/>
      <c r="F15" s="35"/>
      <c r="G15" s="35"/>
      <c r="I15" s="118">
        <v>2020</v>
      </c>
      <c r="J15" s="119">
        <v>50.42</v>
      </c>
      <c r="K15" s="120">
        <v>0.57899999999999996</v>
      </c>
      <c r="L15" s="122">
        <f t="shared" si="0"/>
        <v>8.8035214085635232E-3</v>
      </c>
      <c r="M15" s="35"/>
      <c r="N15" s="35"/>
      <c r="O15" s="35"/>
      <c r="P15" s="35"/>
      <c r="Q15" s="35"/>
      <c r="R15" s="35"/>
      <c r="S15" s="35"/>
      <c r="T15" s="35"/>
    </row>
    <row r="16" spans="1:22" s="44" customFormat="1" ht="17" customHeight="1" x14ac:dyDescent="0.35">
      <c r="A16" s="42"/>
      <c r="B16" s="25"/>
      <c r="C16" s="43"/>
      <c r="D16" s="43"/>
      <c r="E16" s="43"/>
      <c r="F16" s="43"/>
      <c r="G16" s="43"/>
      <c r="I16" s="118">
        <v>2021</v>
      </c>
      <c r="J16" s="119">
        <v>37.33</v>
      </c>
      <c r="K16" s="120">
        <v>0.6411</v>
      </c>
      <c r="L16" s="122">
        <f t="shared" si="0"/>
        <v>-0.25961919873066247</v>
      </c>
      <c r="M16" s="43"/>
      <c r="N16" s="43"/>
      <c r="O16" s="43"/>
      <c r="P16" s="43"/>
      <c r="Q16" s="43"/>
      <c r="R16" s="43"/>
      <c r="S16" s="43"/>
      <c r="T16" s="35"/>
      <c r="U16" s="35"/>
      <c r="V16" s="35"/>
    </row>
    <row r="17" spans="1:20" ht="17" customHeight="1" x14ac:dyDescent="0.35">
      <c r="A17" s="36"/>
      <c r="B17" s="25"/>
      <c r="C17" s="35"/>
      <c r="D17" s="35"/>
      <c r="E17" s="35"/>
      <c r="F17" s="35"/>
      <c r="G17" s="35"/>
      <c r="I17" s="118">
        <v>2022</v>
      </c>
      <c r="J17" s="119">
        <v>42.6</v>
      </c>
      <c r="K17" s="120">
        <v>0.5948</v>
      </c>
      <c r="L17" s="122">
        <f t="shared" si="0"/>
        <v>0.1411733190463435</v>
      </c>
      <c r="M17" s="35"/>
      <c r="N17" s="35"/>
      <c r="O17" s="35"/>
      <c r="P17" s="35"/>
      <c r="Q17" s="35"/>
      <c r="R17" s="35"/>
      <c r="S17" s="35"/>
      <c r="T17" s="35"/>
    </row>
    <row r="18" spans="1:20" ht="17" customHeight="1" x14ac:dyDescent="0.35">
      <c r="A18" s="36"/>
      <c r="B18" s="25"/>
      <c r="C18" s="35"/>
      <c r="D18" s="35"/>
      <c r="E18" s="35"/>
      <c r="F18" s="35"/>
      <c r="G18" s="35"/>
      <c r="I18" s="118">
        <v>2023</v>
      </c>
      <c r="J18" s="119">
        <v>50.31</v>
      </c>
      <c r="K18" s="120">
        <v>0.61309999999999998</v>
      </c>
      <c r="L18" s="122">
        <f t="shared" si="0"/>
        <v>0.18098591549295776</v>
      </c>
      <c r="M18" s="35"/>
      <c r="N18" s="35"/>
      <c r="O18" s="35"/>
      <c r="P18" s="35"/>
      <c r="Q18" s="35"/>
      <c r="R18" s="35"/>
      <c r="S18" s="35"/>
      <c r="T18" s="35"/>
    </row>
    <row r="19" spans="1:20" ht="17" customHeight="1" x14ac:dyDescent="0.35">
      <c r="A19" s="36"/>
      <c r="B19" s="25"/>
      <c r="C19" s="35"/>
      <c r="D19" s="35"/>
      <c r="E19" s="35"/>
      <c r="F19" s="35"/>
      <c r="G19" s="35"/>
      <c r="I19" s="118">
        <v>2024</v>
      </c>
      <c r="J19" s="119">
        <v>150.12</v>
      </c>
      <c r="K19" s="120">
        <v>0.39079999999999998</v>
      </c>
      <c r="L19" s="122">
        <f t="shared" si="0"/>
        <v>1.9838998211091234</v>
      </c>
      <c r="M19" s="35"/>
      <c r="N19" s="35"/>
      <c r="O19" s="35"/>
      <c r="P19" s="35"/>
      <c r="Q19" s="35"/>
      <c r="R19" s="35"/>
      <c r="S19" s="35"/>
      <c r="T19" s="35"/>
    </row>
    <row r="20" spans="1:20" ht="17" customHeight="1" x14ac:dyDescent="0.35">
      <c r="A20" s="36"/>
      <c r="B20" s="25"/>
      <c r="C20" s="35"/>
      <c r="D20" s="35"/>
      <c r="E20" s="35"/>
      <c r="F20" s="35"/>
      <c r="G20" s="35"/>
      <c r="I20" s="25"/>
      <c r="J20" s="25"/>
      <c r="K20" s="25"/>
      <c r="L20" s="25"/>
      <c r="M20" s="35"/>
      <c r="N20" s="35"/>
      <c r="O20" s="35"/>
      <c r="P20" s="35"/>
      <c r="Q20" s="35"/>
      <c r="R20" s="35"/>
      <c r="S20" s="35"/>
      <c r="T20" s="35"/>
    </row>
    <row r="21" spans="1:20" ht="17" customHeight="1" x14ac:dyDescent="0.35">
      <c r="A21" s="36"/>
      <c r="B21" s="25"/>
      <c r="C21" s="35"/>
      <c r="D21" s="35"/>
      <c r="E21" s="35"/>
      <c r="F21" s="35"/>
      <c r="G21" s="35"/>
      <c r="I21" s="116"/>
      <c r="J21" s="116" t="s">
        <v>4</v>
      </c>
      <c r="K21" s="116" t="s">
        <v>15</v>
      </c>
      <c r="L21" s="116" t="s">
        <v>5</v>
      </c>
      <c r="M21" s="35"/>
      <c r="N21" s="35"/>
      <c r="O21" s="35"/>
      <c r="P21" s="35"/>
      <c r="Q21" s="35"/>
      <c r="R21" s="35"/>
      <c r="S21" s="35"/>
      <c r="T21" s="35"/>
    </row>
    <row r="22" spans="1:20" ht="17" customHeight="1" x14ac:dyDescent="0.35">
      <c r="A22" s="36"/>
      <c r="B22" s="25"/>
      <c r="C22" s="35"/>
      <c r="D22" s="35"/>
      <c r="E22" s="35"/>
      <c r="F22" s="35"/>
      <c r="G22" s="35"/>
      <c r="I22" s="116" t="s">
        <v>2</v>
      </c>
      <c r="J22" s="123">
        <f>MAX(J10:J19)</f>
        <v>150.12</v>
      </c>
      <c r="K22" s="123">
        <f>MEDIAN(J10:J19)</f>
        <v>50.245000000000005</v>
      </c>
      <c r="L22" s="123">
        <f>MIN(J10:J19)</f>
        <v>37.33</v>
      </c>
      <c r="M22" s="35"/>
      <c r="N22" s="35"/>
      <c r="O22" s="35"/>
      <c r="P22" s="35"/>
      <c r="Q22" s="35"/>
      <c r="R22" s="35"/>
      <c r="S22" s="35"/>
      <c r="T22" s="35"/>
    </row>
    <row r="23" spans="1:20" ht="17" customHeight="1" x14ac:dyDescent="0.35">
      <c r="A23" s="36"/>
      <c r="B23" s="25"/>
      <c r="C23" s="35"/>
      <c r="D23" s="35"/>
      <c r="E23" s="35"/>
      <c r="F23" s="35"/>
      <c r="G23" s="35"/>
      <c r="I23" s="116" t="s">
        <v>0</v>
      </c>
      <c r="J23" s="124">
        <f>MAX(K10:K19)</f>
        <v>0.6411</v>
      </c>
      <c r="K23" s="125">
        <f>MEDIAN(K10:K19)</f>
        <v>0.5292</v>
      </c>
      <c r="L23" s="124">
        <f>MIN(K10:K19)</f>
        <v>0.39079999999999998</v>
      </c>
      <c r="M23" s="35"/>
      <c r="N23" s="35"/>
      <c r="O23" s="35"/>
      <c r="P23" s="35"/>
      <c r="Q23" s="35"/>
      <c r="R23" s="35"/>
      <c r="S23" s="35"/>
      <c r="T23" s="35"/>
    </row>
    <row r="24" spans="1:20" ht="14.5" customHeight="1" x14ac:dyDescent="0.35">
      <c r="A24" s="36"/>
      <c r="B24" s="25"/>
      <c r="C24" s="35"/>
      <c r="D24" s="35"/>
      <c r="E24" s="35"/>
      <c r="F24" s="35"/>
      <c r="G24" s="35"/>
      <c r="H24" s="45"/>
      <c r="I24" s="46"/>
      <c r="J24" s="47"/>
      <c r="K24" s="46"/>
      <c r="L24" s="35"/>
      <c r="M24" s="35"/>
      <c r="N24" s="35"/>
      <c r="O24" s="35"/>
      <c r="P24" s="35"/>
      <c r="Q24" s="35"/>
      <c r="R24" s="35"/>
      <c r="S24" s="35"/>
      <c r="T24" s="35"/>
    </row>
    <row r="25" spans="1:20" ht="14.5" customHeight="1" x14ac:dyDescent="0.35">
      <c r="A25" s="36"/>
      <c r="B25" s="25"/>
      <c r="C25" s="25"/>
      <c r="D25" s="35"/>
      <c r="E25" s="35"/>
      <c r="F25" s="35"/>
      <c r="G25" s="35"/>
      <c r="H25" s="35"/>
      <c r="I25" s="25"/>
      <c r="J25" s="25"/>
      <c r="K25" s="35"/>
      <c r="L25" s="35"/>
      <c r="M25" s="35"/>
      <c r="N25" s="35"/>
      <c r="O25" s="35"/>
      <c r="P25" s="35"/>
      <c r="Q25" s="35"/>
      <c r="R25" s="35"/>
      <c r="S25" s="35"/>
      <c r="T25" s="35"/>
    </row>
    <row r="26" spans="1:20" ht="20.5" customHeight="1" x14ac:dyDescent="0.35">
      <c r="A26" s="36"/>
      <c r="B26" s="27" t="s">
        <v>6</v>
      </c>
      <c r="C26" s="48"/>
      <c r="D26" s="48"/>
      <c r="E26" s="48"/>
      <c r="F26" s="48"/>
      <c r="G26" s="47"/>
      <c r="H26" s="46"/>
      <c r="I26" s="25"/>
      <c r="J26" s="25"/>
      <c r="K26" s="35"/>
      <c r="L26" s="35"/>
      <c r="M26" s="35"/>
      <c r="N26" s="35"/>
      <c r="O26" s="35"/>
      <c r="P26" s="35"/>
      <c r="Q26" s="35"/>
      <c r="R26" s="35"/>
      <c r="S26" s="35"/>
      <c r="T26" s="35"/>
    </row>
    <row r="27" spans="1:20" s="51" customFormat="1" ht="12.5" customHeight="1" x14ac:dyDescent="0.35">
      <c r="A27" s="49"/>
      <c r="B27" s="50" t="s">
        <v>44</v>
      </c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</row>
    <row r="28" spans="1:20" s="51" customFormat="1" ht="11" customHeight="1" x14ac:dyDescent="0.35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</row>
    <row r="29" spans="1:20" s="51" customFormat="1" ht="13.5" customHeight="1" x14ac:dyDescent="0.35">
      <c r="A29" s="49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</row>
    <row r="30" spans="1:20" s="51" customFormat="1" ht="14.5" hidden="1" customHeight="1" x14ac:dyDescent="0.35">
      <c r="A30" s="49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</row>
    <row r="31" spans="1:20" s="35" customFormat="1" ht="14.5" customHeight="1" x14ac:dyDescent="0.35">
      <c r="B31" s="31"/>
      <c r="C31" s="31"/>
      <c r="D31" s="31"/>
      <c r="E31" s="31"/>
      <c r="F31" s="31"/>
      <c r="G31" s="31"/>
      <c r="H31" s="31"/>
      <c r="I31" s="31"/>
    </row>
    <row r="32" spans="1:20" ht="14.5" customHeight="1" x14ac:dyDescent="0.35">
      <c r="B32" s="35"/>
      <c r="C32" s="35"/>
      <c r="D32" s="35"/>
      <c r="E32" s="35"/>
      <c r="F32" s="35"/>
      <c r="G32" s="35"/>
      <c r="H32" s="35"/>
      <c r="I32" s="35"/>
    </row>
  </sheetData>
  <sheetProtection sort="0" autoFilter="0"/>
  <mergeCells count="3">
    <mergeCell ref="B26:F26"/>
    <mergeCell ref="B27:R30"/>
    <mergeCell ref="B4:R7"/>
  </mergeCells>
  <conditionalFormatting sqref="L11:L19">
    <cfRule type="expression" dxfId="8" priority="1">
      <formula>L11&lt;0</formula>
    </cfRule>
    <cfRule type="expression" dxfId="7" priority="2">
      <formula>L11&gt;0</formula>
    </cfRule>
  </conditionalFormatting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AEAFC-8492-4846-89CB-E4A85C15C618}">
  <sheetPr codeName="Sheet5"/>
  <dimension ref="A1:V31"/>
  <sheetViews>
    <sheetView showGridLines="0" zoomScaleNormal="100" workbookViewId="0">
      <selection activeCell="V49" sqref="V49"/>
    </sheetView>
  </sheetViews>
  <sheetFormatPr defaultColWidth="8.90625" defaultRowHeight="14.5" x14ac:dyDescent="0.35"/>
  <cols>
    <col min="1" max="1" width="8.90625" style="52"/>
    <col min="2" max="2" width="8.90625" style="52" customWidth="1"/>
    <col min="3" max="6" width="17.6328125" style="52" customWidth="1"/>
    <col min="7" max="13" width="8.90625" style="52" customWidth="1"/>
    <col min="14" max="16384" width="8.90625" style="52"/>
  </cols>
  <sheetData>
    <row r="1" spans="1:22" ht="14.5" customHeight="1" x14ac:dyDescent="0.35"/>
    <row r="2" spans="1:22" ht="14.5" customHeight="1" x14ac:dyDescent="0.3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</row>
    <row r="3" spans="1:22" ht="21" customHeight="1" x14ac:dyDescent="0.35">
      <c r="A3" s="36"/>
      <c r="B3" s="32" t="s">
        <v>11</v>
      </c>
      <c r="C3" s="28"/>
      <c r="D3" s="28"/>
      <c r="E3" s="31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</row>
    <row r="4" spans="1:22" ht="8" customHeight="1" x14ac:dyDescent="0.35">
      <c r="A4" s="36"/>
      <c r="B4" s="28" t="s">
        <v>45</v>
      </c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35"/>
      <c r="T4" s="35"/>
      <c r="U4" s="35"/>
      <c r="V4" s="35"/>
    </row>
    <row r="5" spans="1:22" ht="14.5" customHeight="1" x14ac:dyDescent="0.35">
      <c r="A5" s="36"/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35"/>
      <c r="T5" s="35"/>
      <c r="U5" s="35"/>
      <c r="V5" s="35"/>
    </row>
    <row r="6" spans="1:22" ht="14.5" customHeight="1" x14ac:dyDescent="0.35">
      <c r="A6" s="36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35"/>
      <c r="T6" s="35"/>
      <c r="U6" s="35"/>
      <c r="V6" s="35"/>
    </row>
    <row r="7" spans="1:22" ht="14.5" customHeight="1" x14ac:dyDescent="0.35">
      <c r="A7" s="36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35"/>
      <c r="T7" s="35"/>
      <c r="U7" s="35"/>
      <c r="V7" s="35"/>
    </row>
    <row r="8" spans="1:22" ht="18" customHeight="1" x14ac:dyDescent="0.35">
      <c r="A8" s="36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35"/>
      <c r="T8" s="35"/>
      <c r="U8" s="35"/>
      <c r="V8" s="35"/>
    </row>
    <row r="9" spans="1:22" ht="20" customHeight="1" x14ac:dyDescent="0.35">
      <c r="A9" s="36"/>
      <c r="B9" s="31"/>
      <c r="C9" s="31"/>
      <c r="D9" s="31"/>
      <c r="E9" s="31"/>
      <c r="F9" s="31"/>
      <c r="G9" s="31"/>
      <c r="H9" s="31"/>
      <c r="I9" s="31"/>
      <c r="J9" s="31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7" customHeight="1" x14ac:dyDescent="0.35">
      <c r="A10" s="36"/>
      <c r="B10" s="35"/>
      <c r="C10" s="116" t="s">
        <v>7</v>
      </c>
      <c r="D10" s="116" t="s">
        <v>0</v>
      </c>
      <c r="E10" s="116" t="s">
        <v>2</v>
      </c>
      <c r="F10" s="116" t="s">
        <v>17</v>
      </c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  <row r="11" spans="1:22" ht="17" customHeight="1" x14ac:dyDescent="0.35">
      <c r="A11" s="36"/>
      <c r="B11" s="35"/>
      <c r="C11" s="130">
        <v>2015</v>
      </c>
      <c r="D11" s="119">
        <v>0.42820000000000003</v>
      </c>
      <c r="E11" s="119">
        <v>50.63</v>
      </c>
      <c r="F11" s="119">
        <v>0.6</v>
      </c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</row>
    <row r="12" spans="1:22" ht="17" customHeight="1" x14ac:dyDescent="0.35">
      <c r="A12" s="36"/>
      <c r="B12" s="35"/>
      <c r="C12" s="130">
        <v>2016</v>
      </c>
      <c r="D12" s="119">
        <v>0.41649999999999998</v>
      </c>
      <c r="E12" s="119">
        <v>49.33</v>
      </c>
      <c r="F12" s="119">
        <v>0.6</v>
      </c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</row>
    <row r="13" spans="1:22" ht="17" customHeight="1" x14ac:dyDescent="0.35">
      <c r="A13" s="36"/>
      <c r="B13" s="35"/>
      <c r="C13" s="130">
        <v>2017</v>
      </c>
      <c r="D13" s="119">
        <v>0.52390000000000003</v>
      </c>
      <c r="E13" s="119">
        <v>50.59</v>
      </c>
      <c r="F13" s="119">
        <v>0.6</v>
      </c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</row>
    <row r="14" spans="1:22" ht="17" customHeight="1" x14ac:dyDescent="0.35">
      <c r="A14" s="36"/>
      <c r="B14" s="35"/>
      <c r="C14" s="130">
        <v>2018</v>
      </c>
      <c r="D14" s="119">
        <v>0.44529999999999997</v>
      </c>
      <c r="E14" s="119">
        <v>50.18</v>
      </c>
      <c r="F14" s="119">
        <v>0.6</v>
      </c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</row>
    <row r="15" spans="1:22" ht="17" customHeight="1" x14ac:dyDescent="0.35">
      <c r="A15" s="36"/>
      <c r="B15" s="35"/>
      <c r="C15" s="130">
        <v>2019</v>
      </c>
      <c r="D15" s="119">
        <v>0.53449999999999998</v>
      </c>
      <c r="E15" s="119">
        <v>49.98</v>
      </c>
      <c r="F15" s="119">
        <v>0.6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</row>
    <row r="16" spans="1:22" ht="17" customHeight="1" x14ac:dyDescent="0.35">
      <c r="A16" s="36"/>
      <c r="B16" s="35"/>
      <c r="C16" s="130">
        <v>2020</v>
      </c>
      <c r="D16" s="119">
        <v>0.57899999999999996</v>
      </c>
      <c r="E16" s="119">
        <v>50.42</v>
      </c>
      <c r="F16" s="119">
        <v>0.6</v>
      </c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</row>
    <row r="17" spans="1:22" ht="17" customHeight="1" x14ac:dyDescent="0.35">
      <c r="A17" s="36"/>
      <c r="B17" s="35"/>
      <c r="C17" s="130">
        <v>2021</v>
      </c>
      <c r="D17" s="119">
        <v>0.6411</v>
      </c>
      <c r="E17" s="119">
        <v>37.33</v>
      </c>
      <c r="F17" s="119">
        <v>0.6</v>
      </c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</row>
    <row r="18" spans="1:22" ht="17" customHeight="1" x14ac:dyDescent="0.35">
      <c r="A18" s="36"/>
      <c r="B18" s="35"/>
      <c r="C18" s="130">
        <v>2022</v>
      </c>
      <c r="D18" s="119">
        <v>0.5948</v>
      </c>
      <c r="E18" s="119">
        <v>42.6</v>
      </c>
      <c r="F18" s="119">
        <v>0.6</v>
      </c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</row>
    <row r="19" spans="1:22" ht="17" customHeight="1" x14ac:dyDescent="0.35">
      <c r="A19" s="36"/>
      <c r="B19" s="35"/>
      <c r="C19" s="130">
        <v>2023</v>
      </c>
      <c r="D19" s="119">
        <v>0.61309999999999998</v>
      </c>
      <c r="E19" s="119">
        <v>50.31</v>
      </c>
      <c r="F19" s="119">
        <v>0.6</v>
      </c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</row>
    <row r="20" spans="1:22" ht="17" customHeight="1" x14ac:dyDescent="0.35">
      <c r="A20" s="36"/>
      <c r="B20" s="35"/>
      <c r="C20" s="130">
        <v>2024</v>
      </c>
      <c r="D20" s="119">
        <v>0.39079999999999998</v>
      </c>
      <c r="E20" s="119">
        <v>150.12</v>
      </c>
      <c r="F20" s="119">
        <v>0.6</v>
      </c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</row>
    <row r="21" spans="1:22" ht="17" customHeight="1" x14ac:dyDescent="0.35">
      <c r="A21" s="36"/>
      <c r="B21" s="35"/>
      <c r="C21" s="116" t="s">
        <v>12</v>
      </c>
      <c r="D21" s="131">
        <f>COUNTIFS(D11:D20,"&gt;0,60",E11:E20,"&lt;50")</f>
        <v>1</v>
      </c>
      <c r="E21" s="131"/>
      <c r="F21" s="13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</row>
    <row r="22" spans="1:22" ht="20" customHeight="1" x14ac:dyDescent="0.35">
      <c r="A22" s="36"/>
      <c r="B22" s="34"/>
      <c r="C22" s="34"/>
      <c r="D22" s="34"/>
      <c r="E22" s="34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</row>
    <row r="23" spans="1:22" ht="3.5" customHeight="1" x14ac:dyDescent="0.35">
      <c r="A23" s="36"/>
      <c r="B23" s="31"/>
      <c r="C23" s="31"/>
      <c r="D23" s="31"/>
      <c r="E23" s="31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</row>
    <row r="24" spans="1:22" ht="16.5" customHeight="1" x14ac:dyDescent="0.35">
      <c r="A24" s="36"/>
      <c r="B24" s="31"/>
      <c r="C24" s="31"/>
      <c r="D24" s="31"/>
      <c r="E24" s="31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</row>
    <row r="25" spans="1:22" ht="19.5" customHeight="1" x14ac:dyDescent="0.35">
      <c r="A25" s="36"/>
      <c r="B25" s="32" t="s">
        <v>6</v>
      </c>
      <c r="C25" s="54"/>
      <c r="D25" s="54"/>
      <c r="E25" s="31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</row>
    <row r="26" spans="1:22" ht="1" customHeight="1" x14ac:dyDescent="0.35">
      <c r="A26" s="36"/>
      <c r="B26" s="50" t="s">
        <v>46</v>
      </c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35"/>
      <c r="T26" s="35"/>
      <c r="U26" s="35"/>
      <c r="V26" s="35"/>
    </row>
    <row r="27" spans="1:22" ht="9.5" customHeight="1" x14ac:dyDescent="0.35">
      <c r="A27" s="36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35"/>
      <c r="T27" s="35"/>
      <c r="U27" s="35"/>
      <c r="V27" s="35"/>
    </row>
    <row r="28" spans="1:22" ht="12.5" customHeight="1" x14ac:dyDescent="0.35">
      <c r="A28" s="36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35"/>
      <c r="T28" s="35"/>
      <c r="U28" s="35"/>
      <c r="V28" s="35"/>
    </row>
    <row r="29" spans="1:22" x14ac:dyDescent="0.35">
      <c r="A29" s="36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35"/>
      <c r="T29" s="35"/>
      <c r="U29" s="35"/>
      <c r="V29" s="35"/>
    </row>
    <row r="30" spans="1:22" x14ac:dyDescent="0.35">
      <c r="A30" s="36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35"/>
      <c r="T30" s="35"/>
      <c r="U30" s="35"/>
      <c r="V30" s="35"/>
    </row>
    <row r="31" spans="1:22" ht="1.5" customHeight="1" x14ac:dyDescent="0.35">
      <c r="A31" s="35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35"/>
      <c r="T31" s="35"/>
      <c r="U31" s="35"/>
      <c r="V31" s="35"/>
    </row>
  </sheetData>
  <sheetProtection sort="0" autoFilter="0"/>
  <mergeCells count="5">
    <mergeCell ref="B25:D25"/>
    <mergeCell ref="B26:R31"/>
    <mergeCell ref="B3:D3"/>
    <mergeCell ref="B4:R7"/>
    <mergeCell ref="D21:F21"/>
  </mergeCells>
  <conditionalFormatting sqref="C11:C20">
    <cfRule type="expression" dxfId="6" priority="1">
      <formula>D11&lt;0.6</formula>
    </cfRule>
    <cfRule type="expression" dxfId="5" priority="2">
      <formula>D11&gt;0.6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DC5D9-D5EA-43B6-9F90-1293C58982EE}">
  <sheetPr codeName="Sheet6"/>
  <dimension ref="A2:V32"/>
  <sheetViews>
    <sheetView showGridLines="0" zoomScaleNormal="100" workbookViewId="0">
      <selection activeCell="P48" sqref="P48"/>
    </sheetView>
  </sheetViews>
  <sheetFormatPr defaultColWidth="8.90625" defaultRowHeight="14.5" x14ac:dyDescent="0.35"/>
  <cols>
    <col min="1" max="1" width="8.90625" style="38"/>
    <col min="2" max="2" width="8.90625" style="38" customWidth="1"/>
    <col min="3" max="7" width="17.6328125" style="38" customWidth="1"/>
    <col min="8" max="8" width="10.54296875" style="38" customWidth="1"/>
    <col min="9" max="14" width="8.90625" style="38" customWidth="1"/>
    <col min="15" max="15" width="8.90625" style="38"/>
    <col min="16" max="18" width="8.90625" style="38" customWidth="1"/>
    <col min="19" max="19" width="8.90625" style="38"/>
    <col min="20" max="20" width="8.90625" style="38" customWidth="1"/>
    <col min="21" max="21" width="8.90625" style="35"/>
    <col min="22" max="22" width="8.90625" style="35" customWidth="1"/>
    <col min="23" max="23" width="8.90625" style="38" customWidth="1"/>
    <col min="24" max="16384" width="8.90625" style="38"/>
  </cols>
  <sheetData>
    <row r="2" spans="1:22" s="35" customFormat="1" ht="14.5" customHeight="1" x14ac:dyDescent="0.35"/>
    <row r="3" spans="1:22" ht="18.5" x14ac:dyDescent="0.45">
      <c r="A3" s="36"/>
      <c r="B3" s="55" t="s">
        <v>18</v>
      </c>
      <c r="C3" s="55"/>
      <c r="D3" s="55"/>
      <c r="E3" s="5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</row>
    <row r="4" spans="1:22" ht="6" customHeight="1" x14ac:dyDescent="0.35">
      <c r="A4" s="36"/>
      <c r="B4" s="56" t="s">
        <v>47</v>
      </c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35"/>
      <c r="T4" s="35"/>
    </row>
    <row r="5" spans="1:22" x14ac:dyDescent="0.35">
      <c r="A5" s="3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35"/>
      <c r="T5" s="35"/>
    </row>
    <row r="6" spans="1:22" x14ac:dyDescent="0.35">
      <c r="A6" s="36"/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35"/>
      <c r="T6" s="35"/>
    </row>
    <row r="7" spans="1:22" x14ac:dyDescent="0.35">
      <c r="A7" s="36"/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35"/>
      <c r="T7" s="35"/>
    </row>
    <row r="8" spans="1:22" ht="17" customHeight="1" x14ac:dyDescent="0.35">
      <c r="A8" s="36"/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35"/>
      <c r="T8" s="35"/>
    </row>
    <row r="9" spans="1:22" ht="12" customHeight="1" x14ac:dyDescent="0.45">
      <c r="A9" s="36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35"/>
      <c r="T9" s="35"/>
    </row>
    <row r="10" spans="1:22" ht="12" customHeight="1" x14ac:dyDescent="0.35">
      <c r="A10" s="36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</row>
    <row r="11" spans="1:22" s="61" customFormat="1" ht="17" customHeight="1" x14ac:dyDescent="0.35">
      <c r="A11" s="59"/>
      <c r="B11" s="60"/>
      <c r="C11" s="132" t="s">
        <v>7</v>
      </c>
      <c r="D11" s="132" t="s">
        <v>19</v>
      </c>
      <c r="E11" s="133" t="s">
        <v>20</v>
      </c>
      <c r="F11" s="132" t="s">
        <v>21</v>
      </c>
      <c r="G11" s="132" t="s">
        <v>22</v>
      </c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</row>
    <row r="12" spans="1:22" ht="17" customHeight="1" x14ac:dyDescent="0.35">
      <c r="A12" s="36"/>
      <c r="B12" s="35"/>
      <c r="C12" s="118">
        <v>2015</v>
      </c>
      <c r="D12" s="134">
        <v>73294.92</v>
      </c>
      <c r="E12" s="120">
        <v>0.1638</v>
      </c>
      <c r="F12" s="120">
        <v>0.19</v>
      </c>
      <c r="G12" s="120">
        <v>3.9100000000000003E-2</v>
      </c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</row>
    <row r="13" spans="1:22" ht="17" customHeight="1" x14ac:dyDescent="0.35">
      <c r="A13" s="36"/>
      <c r="B13" s="35"/>
      <c r="C13" s="118">
        <v>2016</v>
      </c>
      <c r="D13" s="134">
        <v>75075.39</v>
      </c>
      <c r="E13" s="120">
        <v>0.18</v>
      </c>
      <c r="F13" s="120">
        <v>0.2029</v>
      </c>
      <c r="G13" s="120">
        <v>4.3700000000000003E-2</v>
      </c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</row>
    <row r="14" spans="1:22" ht="17" customHeight="1" x14ac:dyDescent="0.35">
      <c r="A14" s="36"/>
      <c r="B14" s="35"/>
      <c r="C14" s="118">
        <v>2017</v>
      </c>
      <c r="D14" s="134">
        <v>70669.98</v>
      </c>
      <c r="E14" s="120">
        <v>0.1867</v>
      </c>
      <c r="F14" s="120">
        <v>0.20730000000000001</v>
      </c>
      <c r="G14" s="120">
        <v>4.8099999999999997E-2</v>
      </c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</row>
    <row r="15" spans="1:22" ht="17" customHeight="1" x14ac:dyDescent="0.35">
      <c r="A15" s="36"/>
      <c r="B15" s="35"/>
      <c r="C15" s="118">
        <v>2018</v>
      </c>
      <c r="D15" s="134">
        <v>69608.87</v>
      </c>
      <c r="E15" s="120">
        <v>0.18590000000000001</v>
      </c>
      <c r="F15" s="120">
        <v>0.2059</v>
      </c>
      <c r="G15" s="120">
        <v>5.1200000000000002E-2</v>
      </c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</row>
    <row r="16" spans="1:22" ht="17" customHeight="1" x14ac:dyDescent="0.35">
      <c r="A16" s="36"/>
      <c r="B16" s="35"/>
      <c r="C16" s="118">
        <v>2019</v>
      </c>
      <c r="D16" s="134">
        <v>77622.559999999998</v>
      </c>
      <c r="E16" s="120">
        <v>0.2006</v>
      </c>
      <c r="F16" s="120">
        <v>0.222</v>
      </c>
      <c r="G16" s="120">
        <v>4.8599999999999997E-2</v>
      </c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</row>
    <row r="17" spans="1:22" ht="17" customHeight="1" x14ac:dyDescent="0.35">
      <c r="A17" s="36"/>
      <c r="B17" s="35"/>
      <c r="C17" s="118">
        <v>2020</v>
      </c>
      <c r="D17" s="134">
        <v>86759.63</v>
      </c>
      <c r="E17" s="120">
        <v>0.2039</v>
      </c>
      <c r="F17" s="120">
        <v>0.22289999999999999</v>
      </c>
      <c r="G17" s="120">
        <v>4.5600000000000002E-2</v>
      </c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</row>
    <row r="18" spans="1:22" ht="17" customHeight="1" x14ac:dyDescent="0.35">
      <c r="A18" s="36"/>
      <c r="B18" s="35"/>
      <c r="C18" s="118">
        <v>2021</v>
      </c>
      <c r="D18" s="134">
        <v>89597.02</v>
      </c>
      <c r="E18" s="120">
        <v>0.2099</v>
      </c>
      <c r="F18" s="120">
        <v>0.22789999999999999</v>
      </c>
      <c r="G18" s="120">
        <v>7.8200000000000006E-2</v>
      </c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</row>
    <row r="19" spans="1:22" ht="17" customHeight="1" x14ac:dyDescent="0.35">
      <c r="A19" s="36"/>
      <c r="B19" s="35"/>
      <c r="C19" s="118">
        <v>2022</v>
      </c>
      <c r="D19" s="134">
        <v>93226.58</v>
      </c>
      <c r="E19" s="120">
        <v>0.20610000000000001</v>
      </c>
      <c r="F19" s="120">
        <v>0.22120000000000001</v>
      </c>
      <c r="G19" s="120">
        <v>7.0499999999999993E-2</v>
      </c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</row>
    <row r="20" spans="1:22" ht="17" customHeight="1" x14ac:dyDescent="0.35">
      <c r="A20" s="36"/>
      <c r="B20" s="35"/>
      <c r="C20" s="118">
        <v>2023</v>
      </c>
      <c r="D20" s="134">
        <v>95118.26</v>
      </c>
      <c r="E20" s="120">
        <v>0.21229999999999999</v>
      </c>
      <c r="F20" s="120">
        <v>0.22509999999999999</v>
      </c>
      <c r="G20" s="120">
        <v>7.0000000000000007E-2</v>
      </c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</row>
    <row r="21" spans="1:22" ht="17" customHeight="1" x14ac:dyDescent="0.35">
      <c r="A21" s="36"/>
      <c r="B21" s="35"/>
      <c r="C21" s="118">
        <v>2024</v>
      </c>
      <c r="D21" s="134">
        <v>91838.23</v>
      </c>
      <c r="E21" s="120">
        <v>0.22470000000000001</v>
      </c>
      <c r="F21" s="120">
        <v>0.23619999999999999</v>
      </c>
      <c r="G21" s="120">
        <v>7.3800000000000004E-2</v>
      </c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</row>
    <row r="22" spans="1:22" ht="17" customHeight="1" x14ac:dyDescent="0.35">
      <c r="A22" s="36"/>
      <c r="B22" s="35"/>
      <c r="C22" s="117" t="s">
        <v>51</v>
      </c>
      <c r="D22" s="135">
        <v>82281.144</v>
      </c>
      <c r="E22" s="124">
        <v>0.19739000000000001</v>
      </c>
      <c r="F22" s="124">
        <v>0.21614</v>
      </c>
      <c r="G22" s="124">
        <v>5.688E-2</v>
      </c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</row>
    <row r="23" spans="1:22" ht="17" customHeight="1" x14ac:dyDescent="0.35">
      <c r="A23" s="36"/>
      <c r="B23" s="35"/>
      <c r="C23" s="62"/>
      <c r="D23" s="63"/>
      <c r="E23" s="46"/>
      <c r="F23" s="46"/>
      <c r="G23" s="46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</row>
    <row r="24" spans="1:22" ht="14.5" customHeight="1" x14ac:dyDescent="0.35">
      <c r="A24" s="36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</row>
    <row r="25" spans="1:22" ht="13" customHeight="1" x14ac:dyDescent="0.35">
      <c r="A25" s="36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</row>
    <row r="26" spans="1:22" ht="18.5" x14ac:dyDescent="0.45">
      <c r="A26" s="36"/>
      <c r="B26" s="55" t="s">
        <v>6</v>
      </c>
      <c r="C26" s="64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</row>
    <row r="27" spans="1:22" s="66" customFormat="1" ht="6" customHeight="1" x14ac:dyDescent="0.35">
      <c r="A27" s="65"/>
      <c r="B27" s="56" t="s">
        <v>48</v>
      </c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7"/>
      <c r="T27" s="57"/>
      <c r="U27" s="57"/>
      <c r="V27" s="57"/>
    </row>
    <row r="28" spans="1:22" s="66" customFormat="1" x14ac:dyDescent="0.35">
      <c r="A28" s="65"/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7"/>
      <c r="T28" s="57"/>
      <c r="U28" s="57"/>
      <c r="V28" s="57"/>
    </row>
    <row r="29" spans="1:22" s="66" customFormat="1" x14ac:dyDescent="0.35">
      <c r="A29" s="65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7"/>
      <c r="T29" s="57"/>
      <c r="U29" s="57"/>
      <c r="V29" s="57"/>
    </row>
    <row r="30" spans="1:22" x14ac:dyDescent="0.35">
      <c r="A30" s="3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35"/>
      <c r="T30" s="35"/>
    </row>
    <row r="31" spans="1:22" s="35" customFormat="1" x14ac:dyDescent="0.35"/>
    <row r="32" spans="1:22" s="35" customFormat="1" x14ac:dyDescent="0.35"/>
  </sheetData>
  <sheetProtection sort="0" autoFilter="0"/>
  <mergeCells count="4">
    <mergeCell ref="B27:R30"/>
    <mergeCell ref="B3:E3"/>
    <mergeCell ref="B26:C26"/>
    <mergeCell ref="B4:R7"/>
  </mergeCell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FE311-C434-4291-865D-11180C7C0160}">
  <sheetPr codeName="Sheet8"/>
  <dimension ref="A1:AD40"/>
  <sheetViews>
    <sheetView showGridLines="0" zoomScaleNormal="100" workbookViewId="0">
      <selection activeCell="N35" sqref="N35"/>
    </sheetView>
  </sheetViews>
  <sheetFormatPr defaultColWidth="8.6328125" defaultRowHeight="17" customHeight="1" x14ac:dyDescent="0.35"/>
  <cols>
    <col min="1" max="1" width="8.6328125" style="38"/>
    <col min="2" max="2" width="12.453125" style="38" customWidth="1"/>
    <col min="3" max="3" width="2.6328125" style="38" customWidth="1"/>
    <col min="4" max="7" width="8.6328125" style="38"/>
    <col min="8" max="8" width="8.81640625" style="38" bestFit="1" customWidth="1"/>
    <col min="9" max="9" width="8.6328125" style="38"/>
    <col min="10" max="10" width="2.6328125" style="38" customWidth="1"/>
    <col min="11" max="14" width="8.6328125" style="38"/>
    <col min="15" max="15" width="9.08984375" style="38" bestFit="1" customWidth="1"/>
    <col min="16" max="16" width="8.6328125" style="38"/>
    <col min="17" max="17" width="2.6328125" style="38" customWidth="1"/>
    <col min="18" max="21" width="8.6328125" style="38"/>
    <col min="22" max="22" width="11.81640625" style="38" bestFit="1" customWidth="1"/>
    <col min="23" max="23" width="8.6328125" style="38"/>
    <col min="24" max="24" width="2.6328125" style="38" customWidth="1"/>
    <col min="25" max="28" width="8.6328125" style="38"/>
    <col min="29" max="30" width="8.6328125" style="35"/>
    <col min="31" max="16384" width="8.6328125" style="38"/>
  </cols>
  <sheetData>
    <row r="1" spans="1:30" ht="14.5" customHeight="1" x14ac:dyDescent="0.35"/>
    <row r="2" spans="1:30" s="35" customFormat="1" ht="14.5" customHeight="1" x14ac:dyDescent="0.35"/>
    <row r="3" spans="1:30" ht="19.5" customHeight="1" x14ac:dyDescent="0.45">
      <c r="A3" s="36"/>
      <c r="B3" s="55" t="s">
        <v>23</v>
      </c>
      <c r="C3" s="55"/>
      <c r="D3" s="55"/>
      <c r="E3" s="55"/>
      <c r="F3" s="55"/>
      <c r="G3" s="5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</row>
    <row r="4" spans="1:30" ht="12" hidden="1" customHeight="1" x14ac:dyDescent="0.45">
      <c r="A4" s="36"/>
      <c r="B4" s="113" t="s">
        <v>49</v>
      </c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4"/>
      <c r="AB4" s="114"/>
      <c r="AC4" s="114"/>
      <c r="AD4" s="114"/>
    </row>
    <row r="5" spans="1:30" ht="12" customHeight="1" x14ac:dyDescent="0.45">
      <c r="A5" s="36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4"/>
      <c r="AB5" s="114"/>
      <c r="AC5" s="114"/>
      <c r="AD5" s="114"/>
    </row>
    <row r="6" spans="1:30" ht="12" customHeight="1" x14ac:dyDescent="0.45">
      <c r="A6" s="36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4"/>
      <c r="AB6" s="114"/>
      <c r="AC6" s="114"/>
      <c r="AD6" s="114"/>
    </row>
    <row r="7" spans="1:30" ht="14.5" customHeight="1" x14ac:dyDescent="0.35">
      <c r="A7" s="36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35"/>
      <c r="AB7" s="35"/>
    </row>
    <row r="8" spans="1:30" ht="16" customHeight="1" x14ac:dyDescent="0.45">
      <c r="A8" s="36"/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35"/>
      <c r="AB8" s="35"/>
    </row>
    <row r="9" spans="1:30" ht="16" customHeight="1" x14ac:dyDescent="0.45">
      <c r="A9" s="36"/>
      <c r="B9" s="114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35"/>
      <c r="X9" s="35"/>
      <c r="Y9" s="35"/>
      <c r="Z9" s="35"/>
      <c r="AA9" s="35"/>
      <c r="AB9" s="35"/>
    </row>
    <row r="10" spans="1:30" ht="14" customHeight="1" thickBot="1" x14ac:dyDescent="0.4">
      <c r="A10" s="36"/>
      <c r="B10" s="35"/>
      <c r="C10" s="136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37"/>
      <c r="U10" s="137"/>
      <c r="V10" s="137"/>
      <c r="W10" s="137"/>
      <c r="X10" s="138"/>
      <c r="Y10" s="35"/>
      <c r="Z10" s="35"/>
      <c r="AA10" s="35"/>
      <c r="AB10" s="35"/>
    </row>
    <row r="11" spans="1:30" ht="14" customHeight="1" thickTop="1" x14ac:dyDescent="0.35">
      <c r="A11" s="36"/>
      <c r="B11" s="35"/>
      <c r="C11" s="139"/>
      <c r="D11" s="70"/>
      <c r="E11" s="71"/>
      <c r="F11" s="71"/>
      <c r="G11" s="71"/>
      <c r="H11" s="71"/>
      <c r="I11" s="72"/>
      <c r="J11" s="73"/>
      <c r="K11" s="74"/>
      <c r="L11" s="71"/>
      <c r="M11" s="71"/>
      <c r="N11" s="71"/>
      <c r="O11" s="71"/>
      <c r="P11" s="72"/>
      <c r="Q11" s="73"/>
      <c r="R11" s="74"/>
      <c r="S11" s="71"/>
      <c r="T11" s="71"/>
      <c r="U11" s="71"/>
      <c r="V11" s="71"/>
      <c r="W11" s="72"/>
      <c r="X11" s="140"/>
      <c r="Y11" s="35"/>
      <c r="Z11" s="35"/>
      <c r="AA11" s="35"/>
      <c r="AB11" s="35"/>
    </row>
    <row r="12" spans="1:30" ht="14" customHeight="1" x14ac:dyDescent="0.35">
      <c r="A12" s="36"/>
      <c r="B12" s="35"/>
      <c r="C12" s="139"/>
      <c r="D12" s="75"/>
      <c r="E12" s="76" t="s">
        <v>33</v>
      </c>
      <c r="F12" s="76"/>
      <c r="G12" s="77"/>
      <c r="H12" s="77"/>
      <c r="I12" s="78"/>
      <c r="J12" s="79"/>
      <c r="K12" s="80"/>
      <c r="L12" s="76" t="s">
        <v>32</v>
      </c>
      <c r="M12" s="76"/>
      <c r="N12" s="77"/>
      <c r="O12" s="77"/>
      <c r="P12" s="81"/>
      <c r="Q12" s="82"/>
      <c r="R12" s="83"/>
      <c r="S12" s="76" t="s">
        <v>24</v>
      </c>
      <c r="T12" s="76"/>
      <c r="U12" s="77"/>
      <c r="V12" s="84"/>
      <c r="W12" s="85"/>
      <c r="X12" s="140"/>
      <c r="Y12" s="35"/>
      <c r="Z12" s="35"/>
      <c r="AA12" s="35"/>
      <c r="AB12" s="35"/>
    </row>
    <row r="13" spans="1:30" ht="14" customHeight="1" thickBot="1" x14ac:dyDescent="0.4">
      <c r="A13" s="36"/>
      <c r="B13" s="35"/>
      <c r="C13" s="139"/>
      <c r="D13" s="75"/>
      <c r="E13" s="86"/>
      <c r="F13" s="86"/>
      <c r="G13" s="84"/>
      <c r="H13" s="87"/>
      <c r="I13" s="88"/>
      <c r="J13" s="87"/>
      <c r="K13" s="89"/>
      <c r="L13" s="90"/>
      <c r="M13" s="90"/>
      <c r="N13" s="87"/>
      <c r="O13" s="73"/>
      <c r="P13" s="85"/>
      <c r="Q13" s="73"/>
      <c r="R13" s="91"/>
      <c r="S13" s="92"/>
      <c r="T13" s="92"/>
      <c r="U13" s="73"/>
      <c r="V13" s="73"/>
      <c r="W13" s="85"/>
      <c r="X13" s="140"/>
      <c r="Y13" s="35"/>
      <c r="Z13" s="35"/>
      <c r="AA13" s="35"/>
      <c r="AB13" s="35"/>
    </row>
    <row r="14" spans="1:30" ht="14" customHeight="1" thickTop="1" thickBot="1" x14ac:dyDescent="0.4">
      <c r="A14" s="36"/>
      <c r="B14" s="35"/>
      <c r="C14" s="139"/>
      <c r="D14" s="75"/>
      <c r="E14" s="90" t="s">
        <v>35</v>
      </c>
      <c r="F14" s="90"/>
      <c r="G14" s="5"/>
      <c r="H14" s="6">
        <v>91838.23</v>
      </c>
      <c r="I14" s="88"/>
      <c r="J14" s="87"/>
      <c r="K14" s="89"/>
      <c r="L14" s="90" t="s">
        <v>27</v>
      </c>
      <c r="M14" s="93"/>
      <c r="N14" s="11"/>
      <c r="O14" s="10">
        <v>1.4999999999999999E-2</v>
      </c>
      <c r="P14" s="85"/>
      <c r="Q14" s="73"/>
      <c r="R14" s="91"/>
      <c r="S14" s="90" t="s">
        <v>35</v>
      </c>
      <c r="T14" s="93"/>
      <c r="U14" s="14"/>
      <c r="V14" s="15">
        <v>90460.65655</v>
      </c>
      <c r="W14" s="85"/>
      <c r="X14" s="140"/>
      <c r="Y14" s="35"/>
      <c r="Z14" s="35"/>
      <c r="AA14" s="35"/>
      <c r="AB14" s="35"/>
    </row>
    <row r="15" spans="1:30" ht="14" customHeight="1" thickTop="1" thickBot="1" x14ac:dyDescent="0.4">
      <c r="A15" s="36"/>
      <c r="B15" s="35"/>
      <c r="C15" s="139"/>
      <c r="D15" s="75"/>
      <c r="E15" s="90"/>
      <c r="F15" s="90"/>
      <c r="G15" s="94"/>
      <c r="H15" s="95"/>
      <c r="I15" s="88"/>
      <c r="J15" s="87"/>
      <c r="K15" s="89"/>
      <c r="L15" s="90"/>
      <c r="M15" s="93"/>
      <c r="N15" s="96"/>
      <c r="O15" s="97"/>
      <c r="P15" s="85"/>
      <c r="Q15" s="73"/>
      <c r="R15" s="91"/>
      <c r="S15" s="90"/>
      <c r="T15" s="93"/>
      <c r="U15" s="98"/>
      <c r="V15" s="99"/>
      <c r="W15" s="85"/>
      <c r="X15" s="140"/>
      <c r="Y15" s="35"/>
      <c r="Z15" s="35"/>
      <c r="AA15" s="35"/>
      <c r="AB15" s="35"/>
    </row>
    <row r="16" spans="1:30" ht="14" customHeight="1" thickTop="1" thickBot="1" x14ac:dyDescent="0.4">
      <c r="A16" s="36"/>
      <c r="B16" s="35"/>
      <c r="C16" s="139"/>
      <c r="D16" s="75"/>
      <c r="E16" s="90" t="s">
        <v>28</v>
      </c>
      <c r="F16" s="90"/>
      <c r="G16" s="7"/>
      <c r="H16" s="6">
        <v>3344.74</v>
      </c>
      <c r="I16" s="88"/>
      <c r="J16" s="87"/>
      <c r="K16" s="89"/>
      <c r="L16" s="90" t="s">
        <v>36</v>
      </c>
      <c r="M16" s="93"/>
      <c r="N16" s="11"/>
      <c r="O16" s="12">
        <v>0</v>
      </c>
      <c r="P16" s="85"/>
      <c r="Q16" s="73"/>
      <c r="R16" s="91"/>
      <c r="S16" s="90" t="s">
        <v>28</v>
      </c>
      <c r="T16" s="93"/>
      <c r="U16" s="14"/>
      <c r="V16" s="15">
        <v>1892.1065500000036</v>
      </c>
      <c r="W16" s="85"/>
      <c r="X16" s="140"/>
      <c r="Y16" s="35"/>
      <c r="Z16" s="35"/>
      <c r="AA16" s="35"/>
      <c r="AB16" s="35"/>
    </row>
    <row r="17" spans="1:30" ht="14" customHeight="1" thickTop="1" thickBot="1" x14ac:dyDescent="0.4">
      <c r="A17" s="36"/>
      <c r="B17" s="35"/>
      <c r="C17" s="139"/>
      <c r="D17" s="75"/>
      <c r="E17" s="90"/>
      <c r="F17" s="90"/>
      <c r="G17" s="94"/>
      <c r="H17" s="95"/>
      <c r="I17" s="88"/>
      <c r="J17" s="87"/>
      <c r="K17" s="89"/>
      <c r="L17" s="90"/>
      <c r="M17" s="93"/>
      <c r="N17" s="96"/>
      <c r="O17" s="97"/>
      <c r="P17" s="85"/>
      <c r="Q17" s="73"/>
      <c r="R17" s="91"/>
      <c r="S17" s="90"/>
      <c r="T17" s="93"/>
      <c r="U17" s="98"/>
      <c r="V17" s="99"/>
      <c r="W17" s="85"/>
      <c r="X17" s="140"/>
      <c r="Y17" s="35"/>
      <c r="Z17" s="35"/>
      <c r="AA17" s="35"/>
      <c r="AB17" s="35"/>
    </row>
    <row r="18" spans="1:30" ht="14" customHeight="1" thickTop="1" thickBot="1" x14ac:dyDescent="0.4">
      <c r="A18" s="36"/>
      <c r="B18" s="35"/>
      <c r="C18" s="139"/>
      <c r="D18" s="75"/>
      <c r="E18" s="90" t="s">
        <v>29</v>
      </c>
      <c r="F18" s="90"/>
      <c r="G18" s="7"/>
      <c r="H18" s="8">
        <v>150.12</v>
      </c>
      <c r="I18" s="88"/>
      <c r="J18" s="87"/>
      <c r="K18" s="89"/>
      <c r="L18" s="90" t="s">
        <v>37</v>
      </c>
      <c r="M18" s="93"/>
      <c r="N18" s="11"/>
      <c r="O18" s="12">
        <v>0.5</v>
      </c>
      <c r="P18" s="85"/>
      <c r="Q18" s="73"/>
      <c r="R18" s="91"/>
      <c r="S18" s="90" t="s">
        <v>29</v>
      </c>
      <c r="T18" s="93"/>
      <c r="U18" s="14"/>
      <c r="V18" s="15">
        <v>75.06</v>
      </c>
      <c r="W18" s="85"/>
      <c r="X18" s="140"/>
      <c r="Y18" s="35"/>
      <c r="Z18" s="35"/>
      <c r="AA18" s="35"/>
      <c r="AB18" s="35"/>
    </row>
    <row r="19" spans="1:30" ht="14" customHeight="1" thickTop="1" thickBot="1" x14ac:dyDescent="0.4">
      <c r="A19" s="36"/>
      <c r="B19" s="35"/>
      <c r="C19" s="139"/>
      <c r="D19" s="75"/>
      <c r="E19" s="90"/>
      <c r="F19" s="90"/>
      <c r="G19" s="94"/>
      <c r="H19" s="95"/>
      <c r="I19" s="88"/>
      <c r="J19" s="87"/>
      <c r="K19" s="89"/>
      <c r="L19" s="90"/>
      <c r="M19" s="93"/>
      <c r="N19" s="96"/>
      <c r="O19" s="97"/>
      <c r="P19" s="85"/>
      <c r="Q19" s="73"/>
      <c r="R19" s="91"/>
      <c r="S19" s="90"/>
      <c r="T19" s="93"/>
      <c r="U19" s="98"/>
      <c r="V19" s="97"/>
      <c r="W19" s="85"/>
      <c r="X19" s="140"/>
      <c r="Y19" s="35"/>
      <c r="Z19" s="35"/>
      <c r="AA19" s="35"/>
      <c r="AB19" s="35"/>
    </row>
    <row r="20" spans="1:30" ht="14" customHeight="1" thickTop="1" thickBot="1" x14ac:dyDescent="0.4">
      <c r="A20" s="36"/>
      <c r="B20" s="35"/>
      <c r="C20" s="139"/>
      <c r="D20" s="75"/>
      <c r="E20" s="90" t="s">
        <v>25</v>
      </c>
      <c r="F20" s="90"/>
      <c r="G20" s="9"/>
      <c r="H20" s="10">
        <v>0.22470000000000001</v>
      </c>
      <c r="I20" s="88"/>
      <c r="J20" s="87"/>
      <c r="K20" s="89"/>
      <c r="L20" s="90" t="s">
        <v>39</v>
      </c>
      <c r="M20" s="93"/>
      <c r="N20" s="11"/>
      <c r="O20" s="13">
        <v>0.105</v>
      </c>
      <c r="P20" s="85"/>
      <c r="Q20" s="73"/>
      <c r="R20" s="91"/>
      <c r="S20" s="90" t="s">
        <v>25</v>
      </c>
      <c r="T20" s="93"/>
      <c r="U20" s="14"/>
      <c r="V20" s="10">
        <v>0.12904764012827319</v>
      </c>
      <c r="W20" s="85"/>
      <c r="X20" s="140"/>
      <c r="Y20" s="35"/>
      <c r="Z20" s="35"/>
      <c r="AA20" s="35"/>
      <c r="AB20" s="35"/>
    </row>
    <row r="21" spans="1:30" ht="14" customHeight="1" thickTop="1" thickBot="1" x14ac:dyDescent="0.4">
      <c r="A21" s="36"/>
      <c r="B21" s="35"/>
      <c r="C21" s="139"/>
      <c r="D21" s="75"/>
      <c r="E21" s="90"/>
      <c r="F21" s="90"/>
      <c r="G21" s="100"/>
      <c r="H21" s="98"/>
      <c r="I21" s="88"/>
      <c r="J21" s="87"/>
      <c r="K21" s="89"/>
      <c r="L21" s="90"/>
      <c r="M21" s="93"/>
      <c r="N21" s="96"/>
      <c r="O21" s="97"/>
      <c r="P21" s="85"/>
      <c r="Q21" s="73"/>
      <c r="R21" s="91"/>
      <c r="S21" s="90"/>
      <c r="T21" s="93"/>
      <c r="U21" s="98"/>
      <c r="V21" s="97"/>
      <c r="W21" s="85"/>
      <c r="X21" s="140"/>
      <c r="Y21" s="35"/>
      <c r="Z21" s="35"/>
      <c r="AA21" s="35"/>
      <c r="AB21" s="35"/>
    </row>
    <row r="22" spans="1:30" ht="14" customHeight="1" thickTop="1" thickBot="1" x14ac:dyDescent="0.4">
      <c r="A22" s="36"/>
      <c r="B22" s="35"/>
      <c r="C22" s="139"/>
      <c r="D22" s="75"/>
      <c r="E22" s="90" t="s">
        <v>26</v>
      </c>
      <c r="F22" s="90"/>
      <c r="G22" s="9"/>
      <c r="H22" s="10">
        <v>7.3800000000000004E-2</v>
      </c>
      <c r="I22" s="88"/>
      <c r="J22" s="87"/>
      <c r="K22" s="89"/>
      <c r="L22" s="90" t="s">
        <v>38</v>
      </c>
      <c r="M22" s="93"/>
      <c r="N22" s="11"/>
      <c r="O22" s="10">
        <v>0.03</v>
      </c>
      <c r="P22" s="85"/>
      <c r="Q22" s="73"/>
      <c r="R22" s="91"/>
      <c r="S22" s="90" t="s">
        <v>34</v>
      </c>
      <c r="T22" s="93"/>
      <c r="U22" s="14"/>
      <c r="V22" s="10">
        <v>4.2384138146268631E-2</v>
      </c>
      <c r="W22" s="85"/>
      <c r="X22" s="140"/>
      <c r="Y22" s="35"/>
      <c r="Z22" s="35"/>
      <c r="AA22" s="35"/>
      <c r="AB22" s="35"/>
    </row>
    <row r="23" spans="1:30" ht="14" customHeight="1" thickTop="1" thickBot="1" x14ac:dyDescent="0.4">
      <c r="A23" s="36"/>
      <c r="B23" s="35"/>
      <c r="C23" s="139"/>
      <c r="D23" s="101"/>
      <c r="E23" s="102"/>
      <c r="F23" s="102"/>
      <c r="G23" s="103"/>
      <c r="H23" s="103"/>
      <c r="I23" s="104"/>
      <c r="J23" s="87"/>
      <c r="K23" s="105"/>
      <c r="L23" s="102"/>
      <c r="M23" s="106"/>
      <c r="N23" s="102"/>
      <c r="O23" s="107"/>
      <c r="P23" s="108"/>
      <c r="Q23" s="73"/>
      <c r="R23" s="91"/>
      <c r="S23" s="92"/>
      <c r="T23" s="92"/>
      <c r="U23" s="73"/>
      <c r="V23" s="73"/>
      <c r="W23" s="85"/>
      <c r="X23" s="140"/>
      <c r="Y23" s="35"/>
      <c r="Z23" s="35"/>
      <c r="AA23" s="35"/>
      <c r="AB23" s="35"/>
    </row>
    <row r="24" spans="1:30" ht="14" customHeight="1" thickTop="1" thickBot="1" x14ac:dyDescent="0.4">
      <c r="A24" s="36"/>
      <c r="B24" s="35"/>
      <c r="C24" s="139"/>
      <c r="D24" s="109"/>
      <c r="E24" s="87"/>
      <c r="F24" s="87"/>
      <c r="G24" s="84"/>
      <c r="H24" s="84"/>
      <c r="I24" s="87"/>
      <c r="J24" s="87"/>
      <c r="K24" s="87"/>
      <c r="L24" s="87"/>
      <c r="M24" s="87"/>
      <c r="N24" s="84"/>
      <c r="O24" s="84"/>
      <c r="P24" s="73"/>
      <c r="Q24" s="73"/>
      <c r="R24" s="91"/>
      <c r="S24" s="92" t="s">
        <v>30</v>
      </c>
      <c r="T24" s="92"/>
      <c r="U24" s="144" t="s">
        <v>31</v>
      </c>
      <c r="V24" s="145"/>
      <c r="W24" s="85"/>
      <c r="X24" s="140"/>
      <c r="Y24" s="35"/>
      <c r="Z24" s="35"/>
      <c r="AA24" s="35"/>
      <c r="AB24" s="35"/>
    </row>
    <row r="25" spans="1:30" ht="14" customHeight="1" thickBot="1" x14ac:dyDescent="0.4">
      <c r="A25" s="36"/>
      <c r="B25" s="35"/>
      <c r="C25" s="139"/>
      <c r="D25" s="109"/>
      <c r="E25" s="110"/>
      <c r="F25" s="111"/>
      <c r="G25" s="111"/>
      <c r="H25" s="110"/>
      <c r="I25" s="110"/>
      <c r="J25" s="110"/>
      <c r="K25" s="110"/>
      <c r="L25" s="110"/>
      <c r="M25" s="111"/>
      <c r="N25" s="111"/>
      <c r="O25" s="110"/>
      <c r="P25" s="110"/>
      <c r="Q25" s="73"/>
      <c r="R25" s="112"/>
      <c r="S25" s="107"/>
      <c r="T25" s="107"/>
      <c r="U25" s="107"/>
      <c r="V25" s="107"/>
      <c r="W25" s="108"/>
      <c r="X25" s="140"/>
      <c r="Y25" s="35"/>
      <c r="Z25" s="35"/>
      <c r="AA25" s="35"/>
      <c r="AB25" s="35"/>
    </row>
    <row r="26" spans="1:30" ht="14" customHeight="1" thickTop="1" x14ac:dyDescent="0.35">
      <c r="A26" s="36"/>
      <c r="B26" s="35"/>
      <c r="C26" s="141"/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3"/>
      <c r="Y26" s="35"/>
      <c r="Z26" s="35"/>
      <c r="AA26" s="35"/>
      <c r="AB26" s="35"/>
    </row>
    <row r="27" spans="1:30" ht="12" customHeight="1" x14ac:dyDescent="0.35">
      <c r="A27" s="36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</row>
    <row r="28" spans="1:30" ht="13.5" customHeight="1" x14ac:dyDescent="0.35">
      <c r="A28" s="36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</row>
    <row r="29" spans="1:30" ht="21" customHeight="1" x14ac:dyDescent="0.35">
      <c r="A29" s="36"/>
      <c r="B29" s="115" t="s">
        <v>6</v>
      </c>
      <c r="C29" s="11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</row>
    <row r="30" spans="1:30" ht="0.5" customHeight="1" x14ac:dyDescent="0.45">
      <c r="A30" s="36"/>
      <c r="B30" s="56" t="s">
        <v>50</v>
      </c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8"/>
      <c r="AB30" s="58"/>
      <c r="AC30" s="58"/>
      <c r="AD30" s="58"/>
    </row>
    <row r="31" spans="1:30" ht="12" customHeight="1" x14ac:dyDescent="0.45">
      <c r="A31" s="36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8"/>
      <c r="AB31" s="58"/>
      <c r="AC31" s="58"/>
      <c r="AD31" s="58"/>
    </row>
    <row r="32" spans="1:30" ht="12" customHeight="1" x14ac:dyDescent="0.45">
      <c r="A32" s="36"/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8"/>
      <c r="AB32" s="58"/>
      <c r="AC32" s="58"/>
      <c r="AD32" s="58"/>
    </row>
    <row r="33" spans="1:30" ht="12" customHeight="1" x14ac:dyDescent="0.45">
      <c r="A33" s="36"/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8"/>
      <c r="AB33" s="58"/>
      <c r="AC33" s="58"/>
      <c r="AD33" s="58"/>
    </row>
    <row r="34" spans="1:30" ht="12" customHeight="1" x14ac:dyDescent="0.45">
      <c r="A34" s="36"/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8"/>
      <c r="AB34" s="58"/>
      <c r="AC34" s="58"/>
      <c r="AD34" s="58"/>
    </row>
    <row r="35" spans="1:30" ht="12" customHeight="1" x14ac:dyDescent="0.35">
      <c r="A35" s="36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</row>
    <row r="36" spans="1:30" s="35" customFormat="1" ht="12" customHeight="1" x14ac:dyDescent="0.35"/>
    <row r="37" spans="1:30" s="35" customFormat="1" ht="12" customHeight="1" x14ac:dyDescent="0.35"/>
    <row r="38" spans="1:30" ht="12" customHeight="1" x14ac:dyDescent="0.35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</row>
    <row r="39" spans="1:30" ht="12" customHeight="1" x14ac:dyDescent="0.35"/>
    <row r="40" spans="1:30" ht="12" customHeight="1" x14ac:dyDescent="0.35"/>
  </sheetData>
  <sheetProtection formatCells="0" formatColumns="0" formatRows="0"/>
  <protectedRanges>
    <protectedRange sqref="C10:X26" name="Capital_Stress_Simulator"/>
  </protectedRanges>
  <mergeCells count="5">
    <mergeCell ref="B30:Z34"/>
    <mergeCell ref="B3:G3"/>
    <mergeCell ref="B4:Z7"/>
    <mergeCell ref="U24:V24"/>
    <mergeCell ref="B29:C29"/>
  </mergeCells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5C883-CA58-4116-A249-05B9EADAB40C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95C4C9-0BF8-4B3C-9750-8F1E6A1CB88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Project_Info</vt:lpstr>
      <vt:lpstr>Dashboard_Overview</vt:lpstr>
      <vt:lpstr>Financial_Performance</vt:lpstr>
      <vt:lpstr>tbl_profitability_analysis</vt:lpstr>
      <vt:lpstr>Profitability_Analysis</vt:lpstr>
      <vt:lpstr>Risk_Assessment</vt:lpstr>
      <vt:lpstr>Capital_Adequacy</vt:lpstr>
      <vt:lpstr>Shock_Simulator</vt:lpstr>
      <vt:lpstr>Calc_Support</vt:lpstr>
      <vt:lpstr>Shock_Simulator!cur_Assets</vt:lpstr>
      <vt:lpstr>Shock_Simulator!cur_CET1</vt:lpstr>
      <vt:lpstr>Shock_Simulator!cur_Equity</vt:lpstr>
      <vt:lpstr>Shock_Simulator!cur_Leverage</vt:lpstr>
      <vt:lpstr>Shock_Simulator!cur_NetIncome</vt:lpstr>
      <vt:lpstr>Shock_Simulator!min_CET1</vt:lpstr>
      <vt:lpstr>Shock_Simulator!min_Leverage</vt:lpstr>
      <vt:lpstr>Shock_Simulator!res_Assets</vt:lpstr>
      <vt:lpstr>Shock_Simulator!res_CET1</vt:lpstr>
      <vt:lpstr>Shock_Simulator!res_Compliance</vt:lpstr>
      <vt:lpstr>Shock_Simulator!res_Equity</vt:lpstr>
      <vt:lpstr>Shock_Simulator!res_Leverage</vt:lpstr>
      <vt:lpstr>Shock_Simulator!res_NetIncome</vt:lpstr>
      <vt:lpstr>Shock_Simulator!shock_Assets</vt:lpstr>
      <vt:lpstr>Shock_Simulator!shock_Equity</vt:lpstr>
      <vt:lpstr>Shock_Simulator!shock_NetIncome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datadev97</dc:creator>
  <cp:lastModifiedBy>datadev97</cp:lastModifiedBy>
  <dcterms:created xsi:type="dcterms:W3CDTF">2015-06-05T18:17:20Z</dcterms:created>
  <dcterms:modified xsi:type="dcterms:W3CDTF">2025-09-12T14:55:10Z</dcterms:modified>
  <cp:contentStatus/>
</cp:coreProperties>
</file>